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1.Sorcing/3.Supplier Selection/"/>
    </mc:Choice>
  </mc:AlternateContent>
  <xr:revisionPtr revIDLastSave="984" documentId="8_{BB8BD9C2-F441-4D54-BA3C-150FA26F1BC9}" xr6:coauthVersionLast="47" xr6:coauthVersionMax="47" xr10:uidLastSave="{E33480D0-1E3A-4145-916A-EEC2D5E4CA0A}"/>
  <bookViews>
    <workbookView xWindow="-108" yWindow="-108" windowWidth="23256" windowHeight="12456" activeTab="2" xr2:uid="{54FE9B86-7D14-4C68-86C9-D01E90E6F7DD}"/>
  </bookViews>
  <sheets>
    <sheet name="selection_criterion" sheetId="2" r:id="rId1"/>
    <sheet name="scorecard" sheetId="1" r:id="rId2"/>
    <sheet name="suppliers_ran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8" i="1" l="1"/>
  <c r="B8" i="4" a="1"/>
  <c r="B8" i="4" s="1"/>
  <c r="AU261" i="1"/>
  <c r="AU262" i="1"/>
  <c r="AU263" i="1"/>
  <c r="AU264" i="1"/>
  <c r="AU265" i="1"/>
  <c r="AU266" i="1"/>
  <c r="AU267" i="1"/>
  <c r="AU260" i="1"/>
  <c r="AU253" i="1"/>
  <c r="AU254" i="1"/>
  <c r="AU255" i="1"/>
  <c r="AU256" i="1"/>
  <c r="AU257" i="1"/>
  <c r="AU258" i="1"/>
  <c r="AU259" i="1"/>
  <c r="AU252" i="1"/>
  <c r="AU245" i="1"/>
  <c r="AU246" i="1"/>
  <c r="AU247" i="1"/>
  <c r="AU248" i="1"/>
  <c r="AU249" i="1"/>
  <c r="AU250" i="1"/>
  <c r="AU251" i="1"/>
  <c r="AU244" i="1"/>
  <c r="AU237" i="1"/>
  <c r="AU238" i="1"/>
  <c r="AU239" i="1"/>
  <c r="AU240" i="1"/>
  <c r="AU241" i="1"/>
  <c r="AU242" i="1"/>
  <c r="AU243" i="1"/>
  <c r="AU236" i="1"/>
  <c r="AU229" i="1"/>
  <c r="AU230" i="1"/>
  <c r="AU231" i="1"/>
  <c r="AU232" i="1"/>
  <c r="AU233" i="1"/>
  <c r="AU234" i="1"/>
  <c r="AU235" i="1"/>
  <c r="AU228" i="1"/>
  <c r="AU221" i="1"/>
  <c r="AU222" i="1"/>
  <c r="AU223" i="1"/>
  <c r="AU224" i="1"/>
  <c r="AU225" i="1"/>
  <c r="AU226" i="1"/>
  <c r="AU227" i="1"/>
  <c r="AU220" i="1"/>
  <c r="AU213" i="1"/>
  <c r="AU214" i="1"/>
  <c r="AU215" i="1"/>
  <c r="AU216" i="1"/>
  <c r="AU217" i="1"/>
  <c r="AU218" i="1"/>
  <c r="AU219" i="1"/>
  <c r="AU212" i="1"/>
  <c r="AU205" i="1"/>
  <c r="AU206" i="1"/>
  <c r="AU207" i="1"/>
  <c r="AU208" i="1"/>
  <c r="AU209" i="1"/>
  <c r="AU210" i="1"/>
  <c r="AU211" i="1"/>
  <c r="AU204" i="1"/>
  <c r="AU197" i="1"/>
  <c r="AU198" i="1"/>
  <c r="AU199" i="1"/>
  <c r="AU200" i="1"/>
  <c r="AU201" i="1"/>
  <c r="AU202" i="1"/>
  <c r="AU203" i="1"/>
  <c r="AU196" i="1"/>
  <c r="AU189" i="1"/>
  <c r="AU190" i="1"/>
  <c r="AU191" i="1"/>
  <c r="AU192" i="1"/>
  <c r="AU193" i="1"/>
  <c r="AU194" i="1"/>
  <c r="AU195" i="1"/>
  <c r="AU188" i="1"/>
  <c r="AU181" i="1"/>
  <c r="AU182" i="1"/>
  <c r="AU183" i="1"/>
  <c r="AU184" i="1"/>
  <c r="AU185" i="1"/>
  <c r="AU186" i="1"/>
  <c r="AU187" i="1"/>
  <c r="AU180" i="1"/>
  <c r="AU173" i="1"/>
  <c r="AU174" i="1"/>
  <c r="AU175" i="1"/>
  <c r="AU176" i="1"/>
  <c r="AU177" i="1"/>
  <c r="AU178" i="1"/>
  <c r="AU179" i="1"/>
  <c r="AU172" i="1"/>
  <c r="AU165" i="1"/>
  <c r="AU166" i="1"/>
  <c r="AU167" i="1"/>
  <c r="AU168" i="1"/>
  <c r="AU169" i="1"/>
  <c r="AU170" i="1"/>
  <c r="AU171" i="1"/>
  <c r="AU164" i="1"/>
  <c r="AU157" i="1"/>
  <c r="AU158" i="1"/>
  <c r="AU159" i="1"/>
  <c r="AU160" i="1"/>
  <c r="AU161" i="1"/>
  <c r="AU162" i="1"/>
  <c r="AU163" i="1"/>
  <c r="AU156" i="1"/>
  <c r="AU149" i="1"/>
  <c r="AU150" i="1"/>
  <c r="AU151" i="1"/>
  <c r="AU152" i="1"/>
  <c r="AU153" i="1"/>
  <c r="AU154" i="1"/>
  <c r="AU155" i="1"/>
  <c r="AU148" i="1"/>
  <c r="AU139" i="1"/>
  <c r="AU140" i="1"/>
  <c r="AU141" i="1"/>
  <c r="AU142" i="1"/>
  <c r="AU143" i="1"/>
  <c r="AU144" i="1"/>
  <c r="AU145" i="1"/>
  <c r="AU146" i="1"/>
  <c r="AU147" i="1"/>
  <c r="AU138" i="1"/>
  <c r="AU129" i="1"/>
  <c r="AU130" i="1"/>
  <c r="AU131" i="1"/>
  <c r="AU132" i="1"/>
  <c r="AU133" i="1"/>
  <c r="AU134" i="1"/>
  <c r="AU135" i="1"/>
  <c r="AU136" i="1"/>
  <c r="AU137" i="1"/>
  <c r="AU128" i="1"/>
  <c r="AU121" i="1"/>
  <c r="AU122" i="1"/>
  <c r="AU123" i="1"/>
  <c r="AU124" i="1"/>
  <c r="AU125" i="1"/>
  <c r="AU126" i="1"/>
  <c r="AU127" i="1"/>
  <c r="AU120" i="1"/>
  <c r="AU113" i="1"/>
  <c r="AU114" i="1"/>
  <c r="AU115" i="1"/>
  <c r="AU116" i="1"/>
  <c r="AU117" i="1"/>
  <c r="AU118" i="1"/>
  <c r="AU119" i="1"/>
  <c r="AU112" i="1"/>
  <c r="AU103" i="1"/>
  <c r="AU104" i="1"/>
  <c r="AU105" i="1"/>
  <c r="AU106" i="1"/>
  <c r="AU107" i="1"/>
  <c r="AU108" i="1"/>
  <c r="AU109" i="1"/>
  <c r="AU110" i="1"/>
  <c r="AU111" i="1"/>
  <c r="AU102" i="1"/>
  <c r="AU93" i="1"/>
  <c r="AU94" i="1"/>
  <c r="AU95" i="1"/>
  <c r="AU96" i="1"/>
  <c r="AU97" i="1"/>
  <c r="AU98" i="1"/>
  <c r="AU99" i="1"/>
  <c r="AU100" i="1"/>
  <c r="AU101" i="1"/>
  <c r="AU92" i="1"/>
  <c r="AU82" i="1"/>
  <c r="AU83" i="1"/>
  <c r="AU84" i="1"/>
  <c r="AU85" i="1"/>
  <c r="AU86" i="1"/>
  <c r="AU87" i="1"/>
  <c r="AU88" i="1"/>
  <c r="AU89" i="1"/>
  <c r="AU90" i="1"/>
  <c r="AU91" i="1"/>
  <c r="AU81" i="1"/>
  <c r="AU71" i="1"/>
  <c r="AU72" i="1"/>
  <c r="AU73" i="1"/>
  <c r="AU74" i="1"/>
  <c r="AU75" i="1"/>
  <c r="AU76" i="1"/>
  <c r="AU77" i="1"/>
  <c r="AU78" i="1"/>
  <c r="AU79" i="1"/>
  <c r="AU80" i="1"/>
  <c r="AU70" i="1"/>
  <c r="AU63" i="1"/>
  <c r="AU64" i="1"/>
  <c r="AU65" i="1"/>
  <c r="AU66" i="1"/>
  <c r="AU67" i="1"/>
  <c r="AU68" i="1"/>
  <c r="AU69" i="1"/>
  <c r="AU62" i="1"/>
  <c r="AU53" i="1"/>
  <c r="AU54" i="1"/>
  <c r="AU55" i="1"/>
  <c r="AU56" i="1"/>
  <c r="AU57" i="1"/>
  <c r="AU58" i="1"/>
  <c r="AU59" i="1"/>
  <c r="AU60" i="1"/>
  <c r="AU61" i="1"/>
  <c r="AU52" i="1"/>
  <c r="AU41" i="1"/>
  <c r="AU42" i="1"/>
  <c r="AU43" i="1"/>
  <c r="AU44" i="1"/>
  <c r="AU45" i="1"/>
  <c r="AU46" i="1"/>
  <c r="AU47" i="1"/>
  <c r="AU48" i="1"/>
  <c r="AU49" i="1"/>
  <c r="AU50" i="1"/>
  <c r="AU51" i="1"/>
  <c r="AU40" i="1"/>
  <c r="AU29" i="1"/>
  <c r="AU30" i="1"/>
  <c r="AU31" i="1"/>
  <c r="AU32" i="1"/>
  <c r="AU33" i="1"/>
  <c r="AU34" i="1"/>
  <c r="AU35" i="1"/>
  <c r="AU36" i="1"/>
  <c r="AU37" i="1"/>
  <c r="AU38" i="1"/>
  <c r="AU39" i="1"/>
  <c r="AU28" i="1"/>
  <c r="AU19" i="1"/>
  <c r="AU20" i="1"/>
  <c r="AU21" i="1"/>
  <c r="AU22" i="1"/>
  <c r="AU23" i="1"/>
  <c r="AU24" i="1"/>
  <c r="AU25" i="1"/>
  <c r="AU26" i="1"/>
  <c r="AU27" i="1"/>
  <c r="AU18" i="1"/>
  <c r="AU9" i="1"/>
  <c r="AU10" i="1"/>
  <c r="AU11" i="1"/>
  <c r="AU12" i="1"/>
  <c r="AU13" i="1"/>
  <c r="AU14" i="1"/>
  <c r="AU15" i="1"/>
  <c r="AU16" i="1"/>
  <c r="AU17" i="1"/>
  <c r="AH261" i="1"/>
  <c r="AH262" i="1"/>
  <c r="AH263" i="1"/>
  <c r="AH264" i="1"/>
  <c r="AH265" i="1"/>
  <c r="AH266" i="1"/>
  <c r="AH267" i="1"/>
  <c r="AH260" i="1"/>
  <c r="AH253" i="1"/>
  <c r="AH254" i="1"/>
  <c r="AH255" i="1"/>
  <c r="AH256" i="1"/>
  <c r="AH257" i="1"/>
  <c r="AH258" i="1"/>
  <c r="AH259" i="1"/>
  <c r="AH252" i="1"/>
  <c r="AH245" i="1"/>
  <c r="AH246" i="1"/>
  <c r="AH247" i="1"/>
  <c r="AH248" i="1"/>
  <c r="AH249" i="1"/>
  <c r="AH250" i="1"/>
  <c r="AH251" i="1"/>
  <c r="AH244" i="1"/>
  <c r="AH237" i="1"/>
  <c r="AH238" i="1"/>
  <c r="AH239" i="1"/>
  <c r="AH240" i="1"/>
  <c r="AH241" i="1"/>
  <c r="AH242" i="1"/>
  <c r="AH243" i="1"/>
  <c r="AH236" i="1"/>
  <c r="AH229" i="1"/>
  <c r="AH230" i="1"/>
  <c r="AH231" i="1"/>
  <c r="AH232" i="1"/>
  <c r="AH233" i="1"/>
  <c r="AH234" i="1"/>
  <c r="AH235" i="1"/>
  <c r="AH228" i="1"/>
  <c r="AH221" i="1"/>
  <c r="AH222" i="1"/>
  <c r="AH223" i="1"/>
  <c r="AH224" i="1"/>
  <c r="AH225" i="1"/>
  <c r="AH226" i="1"/>
  <c r="AH227" i="1"/>
  <c r="AH220" i="1"/>
  <c r="AH213" i="1"/>
  <c r="AH214" i="1"/>
  <c r="AH215" i="1"/>
  <c r="AH216" i="1"/>
  <c r="AH217" i="1"/>
  <c r="AH218" i="1"/>
  <c r="AH219" i="1"/>
  <c r="AH212" i="1"/>
  <c r="AH205" i="1"/>
  <c r="AH206" i="1"/>
  <c r="AH207" i="1"/>
  <c r="AH208" i="1"/>
  <c r="AH209" i="1"/>
  <c r="AH210" i="1"/>
  <c r="AH211" i="1"/>
  <c r="AH204" i="1"/>
  <c r="AH197" i="1"/>
  <c r="AH198" i="1"/>
  <c r="AH199" i="1"/>
  <c r="AH200" i="1"/>
  <c r="AH201" i="1"/>
  <c r="AH202" i="1"/>
  <c r="AH203" i="1"/>
  <c r="AH196" i="1"/>
  <c r="AH189" i="1"/>
  <c r="AH190" i="1"/>
  <c r="AH191" i="1"/>
  <c r="AH192" i="1"/>
  <c r="AH193" i="1"/>
  <c r="AH194" i="1"/>
  <c r="AH195" i="1"/>
  <c r="AH188" i="1"/>
  <c r="AH181" i="1"/>
  <c r="AH182" i="1"/>
  <c r="AH183" i="1"/>
  <c r="AH184" i="1"/>
  <c r="AH185" i="1"/>
  <c r="AH186" i="1"/>
  <c r="AH187" i="1"/>
  <c r="AH180" i="1"/>
  <c r="AH173" i="1"/>
  <c r="AH174" i="1"/>
  <c r="AH175" i="1"/>
  <c r="AH176" i="1"/>
  <c r="AH177" i="1"/>
  <c r="AH178" i="1"/>
  <c r="AH179" i="1"/>
  <c r="AH172" i="1"/>
  <c r="AH165" i="1"/>
  <c r="AH166" i="1"/>
  <c r="AH167" i="1"/>
  <c r="AH168" i="1"/>
  <c r="AH169" i="1"/>
  <c r="AH170" i="1"/>
  <c r="AH171" i="1"/>
  <c r="AH164" i="1"/>
  <c r="AH157" i="1"/>
  <c r="AH158" i="1"/>
  <c r="AH159" i="1"/>
  <c r="AH160" i="1"/>
  <c r="AH161" i="1"/>
  <c r="AH162" i="1"/>
  <c r="AH163" i="1"/>
  <c r="AH156" i="1"/>
  <c r="AH149" i="1"/>
  <c r="AH150" i="1"/>
  <c r="AH151" i="1"/>
  <c r="AH152" i="1"/>
  <c r="AH153" i="1"/>
  <c r="AH154" i="1"/>
  <c r="AH155" i="1"/>
  <c r="AH148" i="1"/>
  <c r="AH139" i="1"/>
  <c r="AH140" i="1"/>
  <c r="AH141" i="1"/>
  <c r="AH142" i="1"/>
  <c r="AH143" i="1"/>
  <c r="AH144" i="1"/>
  <c r="AH145" i="1"/>
  <c r="AH146" i="1"/>
  <c r="AH147" i="1"/>
  <c r="AH138" i="1"/>
  <c r="AH129" i="1"/>
  <c r="AH130" i="1"/>
  <c r="AH131" i="1"/>
  <c r="AH132" i="1"/>
  <c r="AH133" i="1"/>
  <c r="AH134" i="1"/>
  <c r="AH135" i="1"/>
  <c r="AH136" i="1"/>
  <c r="AH137" i="1"/>
  <c r="AH128" i="1"/>
  <c r="AH121" i="1"/>
  <c r="AH122" i="1"/>
  <c r="AH123" i="1"/>
  <c r="AH124" i="1"/>
  <c r="AH125" i="1"/>
  <c r="AH126" i="1"/>
  <c r="AH127" i="1"/>
  <c r="AH120" i="1"/>
  <c r="AH113" i="1"/>
  <c r="AH114" i="1"/>
  <c r="AH115" i="1"/>
  <c r="AH116" i="1"/>
  <c r="AH117" i="1"/>
  <c r="AH118" i="1"/>
  <c r="AH119" i="1"/>
  <c r="AH112" i="1"/>
  <c r="AH103" i="1"/>
  <c r="AH104" i="1"/>
  <c r="AH105" i="1"/>
  <c r="AH106" i="1"/>
  <c r="AH107" i="1"/>
  <c r="AH108" i="1"/>
  <c r="AH109" i="1"/>
  <c r="AH110" i="1"/>
  <c r="AH111" i="1"/>
  <c r="AH102" i="1"/>
  <c r="AH93" i="1"/>
  <c r="AH94" i="1"/>
  <c r="AH95" i="1"/>
  <c r="AH96" i="1"/>
  <c r="AH97" i="1"/>
  <c r="AH98" i="1"/>
  <c r="AH99" i="1"/>
  <c r="AH100" i="1"/>
  <c r="AH101" i="1"/>
  <c r="AH92" i="1"/>
  <c r="AH81" i="1"/>
  <c r="AH82" i="1"/>
  <c r="AH83" i="1"/>
  <c r="AH84" i="1"/>
  <c r="AH85" i="1"/>
  <c r="AH86" i="1"/>
  <c r="AH87" i="1"/>
  <c r="AH88" i="1"/>
  <c r="AH89" i="1"/>
  <c r="AH90" i="1"/>
  <c r="AH91" i="1"/>
  <c r="AH80" i="1"/>
  <c r="AH71" i="1"/>
  <c r="AH72" i="1"/>
  <c r="AH73" i="1"/>
  <c r="AH74" i="1"/>
  <c r="AH75" i="1"/>
  <c r="AH76" i="1"/>
  <c r="AH77" i="1"/>
  <c r="AH78" i="1"/>
  <c r="AH79" i="1"/>
  <c r="AH70" i="1"/>
  <c r="AH63" i="1"/>
  <c r="AH64" i="1"/>
  <c r="AH65" i="1"/>
  <c r="AH66" i="1"/>
  <c r="AH67" i="1"/>
  <c r="AH68" i="1"/>
  <c r="AH69" i="1"/>
  <c r="AH62" i="1"/>
  <c r="AH53" i="1"/>
  <c r="AH54" i="1"/>
  <c r="AH55" i="1"/>
  <c r="AH56" i="1"/>
  <c r="AH57" i="1"/>
  <c r="AH58" i="1"/>
  <c r="AH59" i="1"/>
  <c r="AH60" i="1"/>
  <c r="AH61" i="1"/>
  <c r="AH52" i="1"/>
  <c r="AH41" i="1"/>
  <c r="AH42" i="1"/>
  <c r="AH43" i="1"/>
  <c r="AH44" i="1"/>
  <c r="AH45" i="1"/>
  <c r="AH46" i="1"/>
  <c r="AH47" i="1"/>
  <c r="AH48" i="1"/>
  <c r="AH49" i="1"/>
  <c r="AH50" i="1"/>
  <c r="AH51" i="1"/>
  <c r="AH40" i="1"/>
  <c r="AH29" i="1"/>
  <c r="AH30" i="1"/>
  <c r="AH31" i="1"/>
  <c r="AH32" i="1"/>
  <c r="AH33" i="1"/>
  <c r="AH34" i="1"/>
  <c r="AH35" i="1"/>
  <c r="AH36" i="1"/>
  <c r="AH37" i="1"/>
  <c r="AH38" i="1"/>
  <c r="AH39" i="1"/>
  <c r="AH28" i="1"/>
  <c r="AH19" i="1"/>
  <c r="AH20" i="1"/>
  <c r="AH21" i="1"/>
  <c r="AH22" i="1"/>
  <c r="AH23" i="1"/>
  <c r="AH24" i="1"/>
  <c r="AH25" i="1"/>
  <c r="AH26" i="1"/>
  <c r="AH27" i="1"/>
  <c r="AH18" i="1"/>
  <c r="AH9" i="1"/>
  <c r="AH10" i="1"/>
  <c r="AH11" i="1"/>
  <c r="AH12" i="1"/>
  <c r="AH13" i="1"/>
  <c r="AH14" i="1"/>
  <c r="AH15" i="1"/>
  <c r="AH16" i="1"/>
  <c r="AH17" i="1"/>
  <c r="AH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8" i="1"/>
  <c r="AN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8" i="1"/>
  <c r="AL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8" i="1"/>
  <c r="BA262" i="1" l="1"/>
  <c r="BA226" i="1"/>
  <c r="BA102" i="1"/>
  <c r="BA30" i="1"/>
  <c r="BA251" i="1"/>
  <c r="BA199" i="1"/>
  <c r="BA31" i="1"/>
  <c r="BA141" i="1"/>
  <c r="BA69" i="1"/>
  <c r="BA173" i="1"/>
  <c r="BA77" i="1"/>
  <c r="BA41" i="1"/>
  <c r="AP224" i="1"/>
  <c r="BA164" i="1"/>
  <c r="BA256" i="1"/>
  <c r="BA96" i="1"/>
  <c r="BA238" i="1"/>
  <c r="BA178" i="1"/>
  <c r="BA174" i="1"/>
  <c r="BA114" i="1"/>
  <c r="BA263" i="1"/>
  <c r="BA179" i="1"/>
  <c r="BA103" i="1"/>
  <c r="BA225" i="1"/>
  <c r="BA189" i="1"/>
  <c r="BA117" i="1"/>
  <c r="BA265" i="1"/>
  <c r="AP236" i="1"/>
  <c r="AP188" i="1"/>
  <c r="AP80" i="1"/>
  <c r="BA128" i="1"/>
  <c r="BA255" i="1"/>
  <c r="BA64" i="1"/>
  <c r="BA176" i="1"/>
  <c r="BA250" i="1"/>
  <c r="BA82" i="1"/>
  <c r="BA258" i="1"/>
  <c r="BA186" i="1"/>
  <c r="BA78" i="1"/>
  <c r="BA66" i="1"/>
  <c r="BA42" i="1"/>
  <c r="BA18" i="1"/>
  <c r="BA182" i="1"/>
  <c r="BA155" i="1"/>
  <c r="BA119" i="1"/>
  <c r="BA11" i="1"/>
  <c r="BA163" i="1"/>
  <c r="BA115" i="1"/>
  <c r="BA19" i="1"/>
  <c r="BA63" i="1"/>
  <c r="BA249" i="1"/>
  <c r="BA201" i="1"/>
  <c r="BA153" i="1"/>
  <c r="BA197" i="1"/>
  <c r="BA65" i="1"/>
  <c r="BA29" i="1"/>
  <c r="BA133" i="1"/>
  <c r="BA121" i="1"/>
  <c r="BA97" i="1"/>
  <c r="BA13" i="1"/>
  <c r="AP92" i="1"/>
  <c r="BA132" i="1"/>
  <c r="BA93" i="1"/>
  <c r="AP216" i="1"/>
  <c r="BA15" i="1"/>
  <c r="AP210" i="1"/>
  <c r="BA105" i="1"/>
  <c r="BA180" i="1"/>
  <c r="BA192" i="1"/>
  <c r="BA216" i="1"/>
  <c r="AP180" i="1"/>
  <c r="AP65" i="1"/>
  <c r="AP246" i="1"/>
  <c r="BA99" i="1"/>
  <c r="BA87" i="1"/>
  <c r="BA129" i="1"/>
  <c r="AP29" i="1"/>
  <c r="AP156" i="1"/>
  <c r="BA16" i="1"/>
  <c r="AP116" i="1"/>
  <c r="AP247" i="1"/>
  <c r="BA252" i="1"/>
  <c r="BA49" i="1"/>
  <c r="BA95" i="1"/>
  <c r="AP17" i="1"/>
  <c r="AP104" i="1"/>
  <c r="BA8" i="1"/>
  <c r="BA75" i="1"/>
  <c r="BA145" i="1"/>
  <c r="BA205" i="1"/>
  <c r="BA24" i="1"/>
  <c r="BA196" i="1"/>
  <c r="BA76" i="1"/>
  <c r="BA52" i="1"/>
  <c r="BA130" i="1"/>
  <c r="BA134" i="1"/>
  <c r="BA122" i="1"/>
  <c r="BA219" i="1"/>
  <c r="BA183" i="1"/>
  <c r="BA171" i="1"/>
  <c r="BA39" i="1"/>
  <c r="BA159" i="1"/>
  <c r="BA142" i="1"/>
  <c r="BA195" i="1"/>
  <c r="BA23" i="1"/>
  <c r="BA260" i="1"/>
  <c r="BA32" i="1"/>
  <c r="BA140" i="1"/>
  <c r="BA204" i="1"/>
  <c r="BA228" i="1"/>
  <c r="BA10" i="1"/>
  <c r="BA92" i="1"/>
  <c r="BA111" i="1"/>
  <c r="BA138" i="1"/>
  <c r="BA154" i="1"/>
  <c r="BA248" i="1"/>
  <c r="BA100" i="1"/>
  <c r="BA84" i="1"/>
  <c r="AP228" i="1"/>
  <c r="AP255" i="1"/>
  <c r="AP231" i="1"/>
  <c r="AP219" i="1"/>
  <c r="AP183" i="1"/>
  <c r="AP135" i="1"/>
  <c r="AP99" i="1"/>
  <c r="AP63" i="1"/>
  <c r="AP27" i="1"/>
  <c r="AP239" i="1"/>
  <c r="AP71" i="1"/>
  <c r="AP187" i="1"/>
  <c r="AP175" i="1"/>
  <c r="AP209" i="1"/>
  <c r="AP161" i="1"/>
  <c r="BA264" i="1"/>
  <c r="BA168" i="1"/>
  <c r="BA120" i="1"/>
  <c r="BA12" i="1"/>
  <c r="BA53" i="1"/>
  <c r="BA150" i="1"/>
  <c r="BA44" i="1"/>
  <c r="BA167" i="1"/>
  <c r="BA243" i="1"/>
  <c r="BA40" i="1"/>
  <c r="BA139" i="1"/>
  <c r="BA181" i="1"/>
  <c r="AP267" i="1"/>
  <c r="AP243" i="1"/>
  <c r="AP207" i="1"/>
  <c r="AP195" i="1"/>
  <c r="AP159" i="1"/>
  <c r="AP123" i="1"/>
  <c r="AP87" i="1"/>
  <c r="AP75" i="1"/>
  <c r="AP15" i="1"/>
  <c r="AP206" i="1"/>
  <c r="AP158" i="1"/>
  <c r="AP82" i="1"/>
  <c r="AP70" i="1"/>
  <c r="AP222" i="1"/>
  <c r="AP186" i="1"/>
  <c r="AP162" i="1"/>
  <c r="AP54" i="1"/>
  <c r="AP253" i="1"/>
  <c r="AP205" i="1"/>
  <c r="AP157" i="1"/>
  <c r="AP117" i="1"/>
  <c r="AP105" i="1"/>
  <c r="AP244" i="1"/>
  <c r="AP220" i="1"/>
  <c r="AP172" i="1"/>
  <c r="AP160" i="1"/>
  <c r="AP148" i="1"/>
  <c r="AP124" i="1"/>
  <c r="AP88" i="1"/>
  <c r="AP76" i="1"/>
  <c r="AP64" i="1"/>
  <c r="AP52" i="1"/>
  <c r="AP40" i="1"/>
  <c r="AP28" i="1"/>
  <c r="BA80" i="1"/>
  <c r="BA152" i="1"/>
  <c r="AP62" i="1"/>
  <c r="AP26" i="1"/>
  <c r="AP106" i="1"/>
  <c r="AP19" i="1"/>
  <c r="AP139" i="1"/>
  <c r="AP165" i="1"/>
  <c r="AP185" i="1"/>
  <c r="AP233" i="1"/>
  <c r="AP237" i="1"/>
  <c r="AP263" i="1"/>
  <c r="AP215" i="1"/>
  <c r="AP107" i="1"/>
  <c r="AP83" i="1"/>
  <c r="AP23" i="1"/>
  <c r="AP223" i="1"/>
  <c r="AP130" i="1"/>
  <c r="AP22" i="1"/>
  <c r="AP218" i="1"/>
  <c r="AP238" i="1"/>
  <c r="AP166" i="1"/>
  <c r="AP225" i="1"/>
  <c r="AP178" i="1"/>
  <c r="AP230" i="1"/>
  <c r="AP254" i="1"/>
  <c r="AP170" i="1"/>
  <c r="AP250" i="1"/>
  <c r="AP182" i="1"/>
  <c r="AP262" i="1"/>
  <c r="AP202" i="1"/>
  <c r="AP142" i="1"/>
  <c r="AP181" i="1"/>
  <c r="AP81" i="1"/>
  <c r="AP18" i="1"/>
  <c r="BA35" i="1"/>
  <c r="BA47" i="1"/>
  <c r="BA81" i="1"/>
  <c r="BA165" i="1"/>
  <c r="BA151" i="1"/>
  <c r="BA187" i="1"/>
  <c r="BA222" i="1"/>
  <c r="BA254" i="1"/>
  <c r="BA14" i="1"/>
  <c r="AP85" i="1"/>
  <c r="AP25" i="1"/>
  <c r="BA45" i="1"/>
  <c r="BA221" i="1"/>
  <c r="BA215" i="1"/>
  <c r="BA242" i="1"/>
  <c r="BA246" i="1"/>
  <c r="AP9" i="1"/>
  <c r="AP67" i="1"/>
  <c r="AP93" i="1"/>
  <c r="AP119" i="1"/>
  <c r="AP129" i="1"/>
  <c r="AP155" i="1"/>
  <c r="AP179" i="1"/>
  <c r="AP203" i="1"/>
  <c r="AP227" i="1"/>
  <c r="AP251" i="1"/>
  <c r="BA89" i="1"/>
  <c r="BA210" i="1"/>
  <c r="BA214" i="1"/>
  <c r="BA241" i="1"/>
  <c r="BA245" i="1"/>
  <c r="BA267" i="1"/>
  <c r="BA177" i="1"/>
  <c r="BA203" i="1"/>
  <c r="BA209" i="1"/>
  <c r="BA213" i="1"/>
  <c r="BA240" i="1"/>
  <c r="BA266" i="1"/>
  <c r="BA110" i="1"/>
  <c r="BA148" i="1"/>
  <c r="BA162" i="1"/>
  <c r="BA202" i="1"/>
  <c r="BA220" i="1"/>
  <c r="BA234" i="1"/>
  <c r="BA239" i="1"/>
  <c r="BA55" i="1"/>
  <c r="BA74" i="1"/>
  <c r="BA109" i="1"/>
  <c r="BA127" i="1"/>
  <c r="BA175" i="1"/>
  <c r="BA207" i="1"/>
  <c r="BA233" i="1"/>
  <c r="BA34" i="1"/>
  <c r="BA46" i="1"/>
  <c r="AP229" i="1"/>
  <c r="AP121" i="1"/>
  <c r="AP97" i="1"/>
  <c r="AP73" i="1"/>
  <c r="AP201" i="1"/>
  <c r="AP57" i="1"/>
  <c r="AP113" i="1"/>
  <c r="AP53" i="1"/>
  <c r="AP168" i="1"/>
  <c r="BA33" i="1"/>
  <c r="BA61" i="1"/>
  <c r="BA217" i="1"/>
  <c r="AP11" i="1"/>
  <c r="AP41" i="1"/>
  <c r="AP69" i="1"/>
  <c r="AP95" i="1"/>
  <c r="AP103" i="1"/>
  <c r="AP125" i="1"/>
  <c r="AP131" i="1"/>
  <c r="AP189" i="1"/>
  <c r="AP213" i="1"/>
  <c r="AP257" i="1"/>
  <c r="AP261" i="1"/>
  <c r="BA22" i="1"/>
  <c r="BA91" i="1"/>
  <c r="BA190" i="1"/>
  <c r="BA247" i="1"/>
  <c r="AP191" i="1"/>
  <c r="AP167" i="1"/>
  <c r="AP55" i="1"/>
  <c r="BA185" i="1"/>
  <c r="AP10" i="1"/>
  <c r="AP68" i="1"/>
  <c r="AP74" i="1"/>
  <c r="AP94" i="1"/>
  <c r="BA21" i="1"/>
  <c r="AP38" i="1"/>
  <c r="AP50" i="1"/>
  <c r="AP66" i="1"/>
  <c r="AP102" i="1"/>
  <c r="AP118" i="1"/>
  <c r="AP122" i="1"/>
  <c r="AP138" i="1"/>
  <c r="AP154" i="1"/>
  <c r="AP226" i="1"/>
  <c r="BA9" i="1"/>
  <c r="BA101" i="1"/>
  <c r="AP248" i="1"/>
  <c r="AP128" i="1"/>
  <c r="AP20" i="1"/>
  <c r="BA218" i="1"/>
  <c r="BA170" i="1"/>
  <c r="AP199" i="1"/>
  <c r="AP163" i="1"/>
  <c r="AP115" i="1"/>
  <c r="BA253" i="1"/>
  <c r="BA157" i="1"/>
  <c r="BA37" i="1"/>
  <c r="AP258" i="1"/>
  <c r="AP198" i="1"/>
  <c r="AP114" i="1"/>
  <c r="AP30" i="1"/>
  <c r="BA156" i="1"/>
  <c r="BA72" i="1"/>
  <c r="BA200" i="1"/>
  <c r="BA188" i="1"/>
  <c r="BA50" i="1"/>
  <c r="BA54" i="1"/>
  <c r="BA73" i="1"/>
  <c r="BA85" i="1"/>
  <c r="BA98" i="1"/>
  <c r="BA118" i="1"/>
  <c r="BA126" i="1"/>
  <c r="BA137" i="1"/>
  <c r="BA160" i="1"/>
  <c r="BA206" i="1"/>
  <c r="BA26" i="1"/>
  <c r="BA36" i="1"/>
  <c r="BA48" i="1"/>
  <c r="BA62" i="1"/>
  <c r="BA70" i="1"/>
  <c r="BA158" i="1"/>
  <c r="BA166" i="1"/>
  <c r="BA83" i="1"/>
  <c r="AP150" i="1"/>
  <c r="BA43" i="1"/>
  <c r="AP33" i="1"/>
  <c r="AP45" i="1"/>
  <c r="AP79" i="1"/>
  <c r="AP89" i="1"/>
  <c r="AP143" i="1"/>
  <c r="AP149" i="1"/>
  <c r="AP169" i="1"/>
  <c r="AP173" i="1"/>
  <c r="AP193" i="1"/>
  <c r="AP197" i="1"/>
  <c r="AP217" i="1"/>
  <c r="AP221" i="1"/>
  <c r="AP241" i="1"/>
  <c r="AP245" i="1"/>
  <c r="AP265" i="1"/>
  <c r="BA20" i="1"/>
  <c r="BA106" i="1"/>
  <c r="BA116" i="1"/>
  <c r="BA124" i="1"/>
  <c r="BA135" i="1"/>
  <c r="BA147" i="1"/>
  <c r="BA212" i="1"/>
  <c r="BA231" i="1"/>
  <c r="BA244" i="1"/>
  <c r="BA59" i="1"/>
  <c r="BA107" i="1"/>
  <c r="BA136" i="1"/>
  <c r="BA237" i="1"/>
  <c r="AP174" i="1"/>
  <c r="AP14" i="1"/>
  <c r="AP32" i="1"/>
  <c r="AP44" i="1"/>
  <c r="AP78" i="1"/>
  <c r="AP98" i="1"/>
  <c r="AP134" i="1"/>
  <c r="AP192" i="1"/>
  <c r="AP204" i="1"/>
  <c r="AP240" i="1"/>
  <c r="AP252" i="1"/>
  <c r="AP264" i="1"/>
  <c r="BA17" i="1"/>
  <c r="BA68" i="1"/>
  <c r="BA123" i="1"/>
  <c r="BA146" i="1"/>
  <c r="BA172" i="1"/>
  <c r="BA224" i="1"/>
  <c r="BA230" i="1"/>
  <c r="AP151" i="1"/>
  <c r="BA79" i="1"/>
  <c r="BA125" i="1"/>
  <c r="BA232" i="1"/>
  <c r="AP42" i="1"/>
  <c r="AP16" i="1"/>
  <c r="AP12" i="1"/>
  <c r="AP260" i="1"/>
  <c r="AP140" i="1"/>
  <c r="AP56" i="1"/>
  <c r="AP8" i="1"/>
  <c r="BA257" i="1"/>
  <c r="BA149" i="1"/>
  <c r="BA113" i="1"/>
  <c r="AP13" i="1"/>
  <c r="AP21" i="1"/>
  <c r="AP31" i="1"/>
  <c r="AP43" i="1"/>
  <c r="AP77" i="1"/>
  <c r="AP127" i="1"/>
  <c r="AP133" i="1"/>
  <c r="AP141" i="1"/>
  <c r="AP211" i="1"/>
  <c r="AP235" i="1"/>
  <c r="AP259" i="1"/>
  <c r="BA28" i="1"/>
  <c r="BA67" i="1"/>
  <c r="BA94" i="1"/>
  <c r="BA104" i="1"/>
  <c r="BA223" i="1"/>
  <c r="BA229" i="1"/>
  <c r="AP190" i="1"/>
  <c r="AP153" i="1"/>
  <c r="AP177" i="1"/>
  <c r="AP249" i="1"/>
  <c r="BA58" i="1"/>
  <c r="BA71" i="1"/>
  <c r="BA88" i="1"/>
  <c r="BA193" i="1"/>
  <c r="BA259" i="1"/>
  <c r="BA236" i="1"/>
  <c r="AP58" i="1"/>
  <c r="AP110" i="1"/>
  <c r="AP146" i="1"/>
  <c r="AP152" i="1"/>
  <c r="AP164" i="1"/>
  <c r="AP176" i="1"/>
  <c r="AP200" i="1"/>
  <c r="AP212" i="1"/>
  <c r="BA57" i="1"/>
  <c r="BA144" i="1"/>
  <c r="BA184" i="1"/>
  <c r="BA227" i="1"/>
  <c r="BA194" i="1"/>
  <c r="AP214" i="1"/>
  <c r="AP59" i="1"/>
  <c r="AP35" i="1"/>
  <c r="AP47" i="1"/>
  <c r="AP91" i="1"/>
  <c r="AP101" i="1"/>
  <c r="AP137" i="1"/>
  <c r="AP145" i="1"/>
  <c r="BA27" i="1"/>
  <c r="BA38" i="1"/>
  <c r="BA56" i="1"/>
  <c r="BA86" i="1"/>
  <c r="BA112" i="1"/>
  <c r="BA131" i="1"/>
  <c r="BA143" i="1"/>
  <c r="BA169" i="1"/>
  <c r="BA191" i="1"/>
  <c r="BA198" i="1"/>
  <c r="BA211" i="1"/>
  <c r="BA235" i="1"/>
  <c r="BA261" i="1"/>
  <c r="AP86" i="1"/>
  <c r="AP126" i="1"/>
  <c r="AP132" i="1"/>
  <c r="AP234" i="1"/>
  <c r="BA25" i="1"/>
  <c r="BA51" i="1"/>
  <c r="BA90" i="1"/>
  <c r="BA108" i="1"/>
  <c r="BA208" i="1"/>
  <c r="AP120" i="1"/>
  <c r="AP96" i="1"/>
  <c r="AP84" i="1"/>
  <c r="AP72" i="1"/>
  <c r="AP60" i="1"/>
  <c r="AP24" i="1"/>
  <c r="AP34" i="1"/>
  <c r="AP46" i="1"/>
  <c r="AP90" i="1"/>
  <c r="AP144" i="1"/>
  <c r="AP194" i="1"/>
  <c r="AP242" i="1"/>
  <c r="AP266" i="1"/>
  <c r="BA60" i="1"/>
  <c r="BA161" i="1"/>
  <c r="AP256" i="1"/>
  <c r="AP232" i="1"/>
  <c r="AP208" i="1"/>
  <c r="AP196" i="1"/>
  <c r="AP184" i="1"/>
  <c r="AP171" i="1"/>
  <c r="AP147" i="1"/>
  <c r="AP136" i="1"/>
  <c r="AP112" i="1"/>
  <c r="AP111" i="1"/>
  <c r="AP109" i="1"/>
  <c r="AP108" i="1"/>
  <c r="AP100" i="1"/>
  <c r="AP61" i="1"/>
  <c r="AP51" i="1"/>
  <c r="AP49" i="1"/>
  <c r="AP48" i="1"/>
  <c r="AP39" i="1"/>
  <c r="AP37" i="1"/>
  <c r="AP36" i="1"/>
  <c r="R7" i="4" l="1" a="1"/>
  <c r="R7" i="4" s="1"/>
  <c r="AQ253" i="1"/>
  <c r="BB63" i="1"/>
  <c r="BB159" i="1"/>
  <c r="BB49" i="1"/>
  <c r="BB11" i="1"/>
  <c r="BB155" i="1"/>
  <c r="BB177" i="1"/>
  <c r="AQ172" i="1"/>
  <c r="BB95" i="1"/>
  <c r="AQ157" i="1"/>
  <c r="AQ205" i="1"/>
  <c r="AQ17" i="1"/>
  <c r="BB258" i="1"/>
  <c r="BB174" i="1"/>
  <c r="AQ117" i="1"/>
  <c r="BB158" i="1"/>
  <c r="BB100" i="1"/>
  <c r="AQ255" i="1"/>
  <c r="BB197" i="1"/>
  <c r="BB119" i="1"/>
  <c r="AQ92" i="1"/>
  <c r="AQ127" i="1"/>
  <c r="AQ207" i="1"/>
  <c r="BB96" i="1"/>
  <c r="BB87" i="1"/>
  <c r="BB251" i="1"/>
  <c r="BB265" i="1"/>
  <c r="BB135" i="1"/>
  <c r="AQ156" i="1"/>
  <c r="BB133" i="1"/>
  <c r="AQ158" i="1"/>
  <c r="BB201" i="1"/>
  <c r="BB51" i="1"/>
  <c r="AQ152" i="1"/>
  <c r="AQ44" i="1"/>
  <c r="BB82" i="1"/>
  <c r="BB222" i="1"/>
  <c r="AQ99" i="1"/>
  <c r="BB179" i="1"/>
  <c r="AQ48" i="1"/>
  <c r="BB23" i="1"/>
  <c r="AQ59" i="1"/>
  <c r="AQ260" i="1"/>
  <c r="BB123" i="1"/>
  <c r="BB187" i="1"/>
  <c r="AQ162" i="1"/>
  <c r="BB114" i="1"/>
  <c r="AQ196" i="1"/>
  <c r="AQ234" i="1"/>
  <c r="BB112" i="1"/>
  <c r="AQ214" i="1"/>
  <c r="BB229" i="1"/>
  <c r="AQ77" i="1"/>
  <c r="AQ12" i="1"/>
  <c r="BB68" i="1"/>
  <c r="BB69" i="1"/>
  <c r="BB150" i="1"/>
  <c r="BB151" i="1"/>
  <c r="AQ160" i="1"/>
  <c r="BB99" i="1"/>
  <c r="AQ114" i="1"/>
  <c r="AQ171" i="1"/>
  <c r="AQ133" i="1"/>
  <c r="BB10" i="1"/>
  <c r="AQ208" i="1"/>
  <c r="BB106" i="1"/>
  <c r="BB92" i="1"/>
  <c r="BB238" i="1"/>
  <c r="BB18" i="1"/>
  <c r="AQ163" i="1"/>
  <c r="BB94" i="1"/>
  <c r="AQ186" i="1"/>
  <c r="BB261" i="1"/>
  <c r="BB72" i="1"/>
  <c r="AQ191" i="1"/>
  <c r="AQ95" i="1"/>
  <c r="AQ70" i="1"/>
  <c r="BB216" i="1"/>
  <c r="BB178" i="1"/>
  <c r="AQ153" i="1"/>
  <c r="BB86" i="1"/>
  <c r="BB17" i="1"/>
  <c r="AQ228" i="1"/>
  <c r="AQ124" i="1"/>
  <c r="AQ227" i="1"/>
  <c r="BB31" i="1"/>
  <c r="AQ209" i="1"/>
  <c r="BB218" i="1"/>
  <c r="AQ66" i="1"/>
  <c r="BB247" i="1"/>
  <c r="BB55" i="1"/>
  <c r="AQ220" i="1"/>
  <c r="BB117" i="1"/>
  <c r="AQ39" i="1"/>
  <c r="AQ140" i="1"/>
  <c r="BB34" i="1"/>
  <c r="BB194" i="1"/>
  <c r="BB242" i="1"/>
  <c r="AQ237" i="1"/>
  <c r="BB105" i="1"/>
  <c r="BB195" i="1"/>
  <c r="BB168" i="1"/>
  <c r="AQ256" i="1"/>
  <c r="BB259" i="1"/>
  <c r="BB225" i="1"/>
  <c r="BB250" i="1"/>
  <c r="BB41" i="1"/>
  <c r="AQ29" i="1"/>
  <c r="AQ20" i="1"/>
  <c r="AQ40" i="1"/>
  <c r="BB203" i="1"/>
  <c r="BB189" i="1"/>
  <c r="BB206" i="1"/>
  <c r="BB205" i="1"/>
  <c r="BB204" i="1"/>
  <c r="BB240" i="1"/>
  <c r="BB243" i="1"/>
  <c r="AQ35" i="1"/>
  <c r="AQ173" i="1"/>
  <c r="AQ175" i="1"/>
  <c r="AQ82" i="1"/>
  <c r="AQ251" i="1"/>
  <c r="AQ247" i="1"/>
  <c r="BB74" i="1"/>
  <c r="BB143" i="1"/>
  <c r="BB138" i="1"/>
  <c r="BB139" i="1"/>
  <c r="BB141" i="1"/>
  <c r="BB142" i="1"/>
  <c r="BB140" i="1"/>
  <c r="BB145" i="1"/>
  <c r="AQ46" i="1"/>
  <c r="AQ190" i="1"/>
  <c r="AQ102" i="1"/>
  <c r="AQ105" i="1"/>
  <c r="AQ104" i="1"/>
  <c r="AQ90" i="1"/>
  <c r="AQ88" i="1"/>
  <c r="BB146" i="1"/>
  <c r="AQ184" i="1"/>
  <c r="AQ183" i="1"/>
  <c r="BB131" i="1"/>
  <c r="BB132" i="1"/>
  <c r="BB128" i="1"/>
  <c r="BB129" i="1"/>
  <c r="BB134" i="1"/>
  <c r="BB130" i="1"/>
  <c r="AQ189" i="1"/>
  <c r="AQ188" i="1"/>
  <c r="AQ195" i="1"/>
  <c r="AQ28" i="1"/>
  <c r="AQ87" i="1"/>
  <c r="BB170" i="1"/>
  <c r="BB167" i="1"/>
  <c r="BB164" i="1"/>
  <c r="BB75" i="1"/>
  <c r="BB25" i="1"/>
  <c r="BB24" i="1"/>
  <c r="AQ146" i="1"/>
  <c r="BB77" i="1"/>
  <c r="AQ54" i="1"/>
  <c r="AQ169" i="1"/>
  <c r="BB46" i="1"/>
  <c r="AQ267" i="1"/>
  <c r="AQ34" i="1"/>
  <c r="AQ149" i="1"/>
  <c r="AQ50" i="1"/>
  <c r="AQ203" i="1"/>
  <c r="BB53" i="1"/>
  <c r="AQ233" i="1"/>
  <c r="AQ51" i="1"/>
  <c r="BB48" i="1"/>
  <c r="AQ103" i="1"/>
  <c r="AQ179" i="1"/>
  <c r="BB219" i="1"/>
  <c r="AQ62" i="1"/>
  <c r="BB56" i="1"/>
  <c r="AQ42" i="1"/>
  <c r="AQ89" i="1"/>
  <c r="BB36" i="1"/>
  <c r="BB118" i="1"/>
  <c r="AQ198" i="1"/>
  <c r="AQ248" i="1"/>
  <c r="BB21" i="1"/>
  <c r="BB190" i="1"/>
  <c r="AQ57" i="1"/>
  <c r="BB234" i="1"/>
  <c r="AQ155" i="1"/>
  <c r="BB45" i="1"/>
  <c r="AQ142" i="1"/>
  <c r="BB52" i="1"/>
  <c r="BB40" i="1"/>
  <c r="AQ165" i="1"/>
  <c r="BB154" i="1"/>
  <c r="AQ100" i="1"/>
  <c r="AQ72" i="1"/>
  <c r="AQ86" i="1"/>
  <c r="BB38" i="1"/>
  <c r="BB184" i="1"/>
  <c r="AQ21" i="1"/>
  <c r="BB232" i="1"/>
  <c r="AQ252" i="1"/>
  <c r="BB136" i="1"/>
  <c r="AQ265" i="1"/>
  <c r="AQ79" i="1"/>
  <c r="BB26" i="1"/>
  <c r="BB98" i="1"/>
  <c r="AQ258" i="1"/>
  <c r="BB101" i="1"/>
  <c r="AQ94" i="1"/>
  <c r="BB176" i="1"/>
  <c r="AQ69" i="1"/>
  <c r="AQ201" i="1"/>
  <c r="AQ64" i="1"/>
  <c r="BB220" i="1"/>
  <c r="BB111" i="1"/>
  <c r="AQ129" i="1"/>
  <c r="AQ25" i="1"/>
  <c r="BB192" i="1"/>
  <c r="AQ202" i="1"/>
  <c r="BB76" i="1"/>
  <c r="BB32" i="1"/>
  <c r="AQ236" i="1"/>
  <c r="AQ223" i="1"/>
  <c r="AQ139" i="1"/>
  <c r="BB263" i="1"/>
  <c r="BB124" i="1"/>
  <c r="AQ224" i="1"/>
  <c r="BB116" i="1"/>
  <c r="BB209" i="1"/>
  <c r="AQ243" i="1"/>
  <c r="AQ16" i="1"/>
  <c r="BB126" i="1"/>
  <c r="AQ113" i="1"/>
  <c r="BB221" i="1"/>
  <c r="BB84" i="1"/>
  <c r="BB183" i="1"/>
  <c r="AQ232" i="1"/>
  <c r="BB236" i="1"/>
  <c r="BB237" i="1"/>
  <c r="AQ84" i="1"/>
  <c r="BB193" i="1"/>
  <c r="AQ240" i="1"/>
  <c r="BB19" i="1"/>
  <c r="AQ74" i="1"/>
  <c r="BB267" i="1"/>
  <c r="AQ18" i="1"/>
  <c r="AQ19" i="1"/>
  <c r="BB235" i="1"/>
  <c r="BB113" i="1"/>
  <c r="AQ241" i="1"/>
  <c r="AQ226" i="1"/>
  <c r="BB44" i="1"/>
  <c r="BB162" i="1"/>
  <c r="AQ182" i="1"/>
  <c r="BB15" i="1"/>
  <c r="AQ27" i="1"/>
  <c r="AQ120" i="1"/>
  <c r="AQ212" i="1"/>
  <c r="BB71" i="1"/>
  <c r="AQ259" i="1"/>
  <c r="BB149" i="1"/>
  <c r="AQ151" i="1"/>
  <c r="AQ192" i="1"/>
  <c r="BB244" i="1"/>
  <c r="AQ221" i="1"/>
  <c r="BB43" i="1"/>
  <c r="BB54" i="1"/>
  <c r="BB253" i="1"/>
  <c r="AQ154" i="1"/>
  <c r="AQ10" i="1"/>
  <c r="BB22" i="1"/>
  <c r="BB217" i="1"/>
  <c r="AQ121" i="1"/>
  <c r="BB207" i="1"/>
  <c r="BB148" i="1"/>
  <c r="BB241" i="1"/>
  <c r="AQ67" i="1"/>
  <c r="BB14" i="1"/>
  <c r="BB81" i="1"/>
  <c r="AQ216" i="1"/>
  <c r="BB180" i="1"/>
  <c r="AQ65" i="1"/>
  <c r="AQ254" i="1"/>
  <c r="AQ166" i="1"/>
  <c r="AQ22" i="1"/>
  <c r="AQ130" i="1"/>
  <c r="BB173" i="1"/>
  <c r="AQ107" i="1"/>
  <c r="BB103" i="1"/>
  <c r="BB42" i="1"/>
  <c r="AQ159" i="1"/>
  <c r="AQ161" i="1"/>
  <c r="BB70" i="1"/>
  <c r="AQ131" i="1"/>
  <c r="BB215" i="1"/>
  <c r="AQ49" i="1"/>
  <c r="AQ30" i="1"/>
  <c r="AQ58" i="1"/>
  <c r="AQ174" i="1"/>
  <c r="AQ128" i="1"/>
  <c r="AQ185" i="1"/>
  <c r="AQ61" i="1"/>
  <c r="BB227" i="1"/>
  <c r="AQ264" i="1"/>
  <c r="BB161" i="1"/>
  <c r="BB144" i="1"/>
  <c r="BB125" i="1"/>
  <c r="AQ45" i="1"/>
  <c r="BB9" i="1"/>
  <c r="BB8" i="1"/>
  <c r="AQ73" i="1"/>
  <c r="AQ119" i="1"/>
  <c r="AQ262" i="1"/>
  <c r="BB182" i="1"/>
  <c r="AQ109" i="1"/>
  <c r="AQ145" i="1"/>
  <c r="AQ204" i="1"/>
  <c r="AQ68" i="1"/>
  <c r="BB233" i="1"/>
  <c r="AQ170" i="1"/>
  <c r="AQ83" i="1"/>
  <c r="AQ206" i="1"/>
  <c r="AQ266" i="1"/>
  <c r="AQ137" i="1"/>
  <c r="BB208" i="1"/>
  <c r="AQ101" i="1"/>
  <c r="BB58" i="1"/>
  <c r="AQ235" i="1"/>
  <c r="BB257" i="1"/>
  <c r="BB230" i="1"/>
  <c r="AQ134" i="1"/>
  <c r="BB231" i="1"/>
  <c r="AQ217" i="1"/>
  <c r="AQ150" i="1"/>
  <c r="BB50" i="1"/>
  <c r="AQ115" i="1"/>
  <c r="AQ138" i="1"/>
  <c r="BB185" i="1"/>
  <c r="AQ261" i="1"/>
  <c r="AQ229" i="1"/>
  <c r="BB175" i="1"/>
  <c r="BB110" i="1"/>
  <c r="BB214" i="1"/>
  <c r="AQ9" i="1"/>
  <c r="BB254" i="1"/>
  <c r="BB64" i="1"/>
  <c r="AQ81" i="1"/>
  <c r="AQ63" i="1"/>
  <c r="BB181" i="1"/>
  <c r="AQ230" i="1"/>
  <c r="AQ238" i="1"/>
  <c r="AQ210" i="1"/>
  <c r="BB13" i="1"/>
  <c r="AQ215" i="1"/>
  <c r="BB115" i="1"/>
  <c r="BB66" i="1"/>
  <c r="BB12" i="1"/>
  <c r="AQ219" i="1"/>
  <c r="AQ32" i="1"/>
  <c r="BB156" i="1"/>
  <c r="AQ168" i="1"/>
  <c r="AQ110" i="1"/>
  <c r="AQ14" i="1"/>
  <c r="BB137" i="1"/>
  <c r="AQ125" i="1"/>
  <c r="BB249" i="1"/>
  <c r="AQ26" i="1"/>
  <c r="AQ132" i="1"/>
  <c r="AQ43" i="1"/>
  <c r="BB239" i="1"/>
  <c r="BB228" i="1"/>
  <c r="AQ76" i="1"/>
  <c r="BB29" i="1"/>
  <c r="AQ222" i="1"/>
  <c r="AQ126" i="1"/>
  <c r="AQ31" i="1"/>
  <c r="AQ108" i="1"/>
  <c r="BB27" i="1"/>
  <c r="AQ13" i="1"/>
  <c r="AQ245" i="1"/>
  <c r="BB85" i="1"/>
  <c r="BB91" i="1"/>
  <c r="BB202" i="1"/>
  <c r="BB165" i="1"/>
  <c r="AQ250" i="1"/>
  <c r="BB65" i="1"/>
  <c r="BB80" i="1"/>
  <c r="BB60" i="1"/>
  <c r="BB88" i="1"/>
  <c r="BB79" i="1"/>
  <c r="AQ33" i="1"/>
  <c r="BB73" i="1"/>
  <c r="AQ11" i="1"/>
  <c r="BB245" i="1"/>
  <c r="BB152" i="1"/>
  <c r="BB196" i="1"/>
  <c r="AQ180" i="1"/>
  <c r="AQ111" i="1"/>
  <c r="BB211" i="1"/>
  <c r="AQ112" i="1"/>
  <c r="AQ242" i="1"/>
  <c r="BB198" i="1"/>
  <c r="AQ200" i="1"/>
  <c r="AQ36" i="1"/>
  <c r="AQ136" i="1"/>
  <c r="AQ194" i="1"/>
  <c r="BB108" i="1"/>
  <c r="BB191" i="1"/>
  <c r="AQ91" i="1"/>
  <c r="AQ176" i="1"/>
  <c r="AQ249" i="1"/>
  <c r="AQ211" i="1"/>
  <c r="AQ8" i="1"/>
  <c r="BB224" i="1"/>
  <c r="AQ98" i="1"/>
  <c r="BB212" i="1"/>
  <c r="AQ197" i="1"/>
  <c r="BB83" i="1"/>
  <c r="BB226" i="1"/>
  <c r="BB188" i="1"/>
  <c r="AQ122" i="1"/>
  <c r="AQ55" i="1"/>
  <c r="AQ257" i="1"/>
  <c r="BB61" i="1"/>
  <c r="BB127" i="1"/>
  <c r="BB171" i="1"/>
  <c r="BB210" i="1"/>
  <c r="BB260" i="1"/>
  <c r="BB248" i="1"/>
  <c r="BB47" i="1"/>
  <c r="AQ181" i="1"/>
  <c r="AQ135" i="1"/>
  <c r="BB16" i="1"/>
  <c r="AQ75" i="1"/>
  <c r="AQ178" i="1"/>
  <c r="AQ218" i="1"/>
  <c r="AQ187" i="1"/>
  <c r="BB97" i="1"/>
  <c r="AQ263" i="1"/>
  <c r="BB163" i="1"/>
  <c r="BB78" i="1"/>
  <c r="BB264" i="1"/>
  <c r="AQ246" i="1"/>
  <c r="AQ15" i="1"/>
  <c r="BB160" i="1"/>
  <c r="BB213" i="1"/>
  <c r="AQ106" i="1"/>
  <c r="BB62" i="1"/>
  <c r="AQ53" i="1"/>
  <c r="BB122" i="1"/>
  <c r="BB186" i="1"/>
  <c r="AQ24" i="1"/>
  <c r="BB223" i="1"/>
  <c r="AQ143" i="1"/>
  <c r="AQ38" i="1"/>
  <c r="AQ225" i="1"/>
  <c r="BB153" i="1"/>
  <c r="AQ60" i="1"/>
  <c r="BB104" i="1"/>
  <c r="BB20" i="1"/>
  <c r="BB67" i="1"/>
  <c r="BB107" i="1"/>
  <c r="BB37" i="1"/>
  <c r="AQ41" i="1"/>
  <c r="AQ148" i="1"/>
  <c r="AQ85" i="1"/>
  <c r="AQ23" i="1"/>
  <c r="AQ71" i="1"/>
  <c r="AQ96" i="1"/>
  <c r="BB57" i="1"/>
  <c r="BB39" i="1"/>
  <c r="BB28" i="1"/>
  <c r="BB59" i="1"/>
  <c r="BB157" i="1"/>
  <c r="AQ97" i="1"/>
  <c r="AQ93" i="1"/>
  <c r="AQ80" i="1"/>
  <c r="AQ244" i="1"/>
  <c r="BB30" i="1"/>
  <c r="AQ37" i="1"/>
  <c r="AQ147" i="1"/>
  <c r="AQ144" i="1"/>
  <c r="BB90" i="1"/>
  <c r="BB169" i="1"/>
  <c r="AQ47" i="1"/>
  <c r="AQ164" i="1"/>
  <c r="AQ177" i="1"/>
  <c r="AQ141" i="1"/>
  <c r="AQ56" i="1"/>
  <c r="BB172" i="1"/>
  <c r="AQ78" i="1"/>
  <c r="BB147" i="1"/>
  <c r="AQ193" i="1"/>
  <c r="BB166" i="1"/>
  <c r="BB262" i="1"/>
  <c r="BB200" i="1"/>
  <c r="AQ199" i="1"/>
  <c r="AQ118" i="1"/>
  <c r="AQ167" i="1"/>
  <c r="AQ213" i="1"/>
  <c r="BB33" i="1"/>
  <c r="BB109" i="1"/>
  <c r="BB266" i="1"/>
  <c r="BB89" i="1"/>
  <c r="BB246" i="1"/>
  <c r="BB255" i="1"/>
  <c r="BB35" i="1"/>
  <c r="BB120" i="1"/>
  <c r="AQ231" i="1"/>
  <c r="AQ123" i="1"/>
  <c r="AQ116" i="1"/>
  <c r="AQ239" i="1"/>
  <c r="BB121" i="1"/>
  <c r="BB93" i="1"/>
  <c r="BB256" i="1"/>
  <c r="BB199" i="1"/>
  <c r="BB102" i="1"/>
  <c r="AQ52" i="1"/>
  <c r="BB2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<sst xmlns="http://schemas.openxmlformats.org/spreadsheetml/2006/main" count="4526" uniqueCount="1221">
  <si>
    <t>Category</t>
  </si>
  <si>
    <t>Sub-Category</t>
  </si>
  <si>
    <t>Supplier ID</t>
  </si>
  <si>
    <t>Supplier Name</t>
  </si>
  <si>
    <t>Location</t>
  </si>
  <si>
    <t>Distance (km)</t>
  </si>
  <si>
    <t>Price (₹/unit)</t>
  </si>
  <si>
    <t>MOQ (units)</t>
  </si>
  <si>
    <t>Min Order Value (₹)</t>
  </si>
  <si>
    <t>Lead Time (days)</t>
  </si>
  <si>
    <t>Emergency Lead Time (days)</t>
  </si>
  <si>
    <t>Defect Rate (%)</t>
  </si>
  <si>
    <t>OTIF (%)</t>
  </si>
  <si>
    <t>Payment Terms (days)</t>
  </si>
  <si>
    <t>Capacity</t>
  </si>
  <si>
    <t>Quality Score (/10)</t>
  </si>
  <si>
    <t>Delivery Score (/10)</t>
  </si>
  <si>
    <t>Certification</t>
  </si>
  <si>
    <t>Sustainability Score (/10)</t>
  </si>
  <si>
    <t>Financial Stability</t>
  </si>
  <si>
    <t>Tech Capability</t>
  </si>
  <si>
    <t>Contract Flexibility (years)</t>
  </si>
  <si>
    <t>Sample Available</t>
  </si>
  <si>
    <t>Warehousing (days)</t>
  </si>
  <si>
    <t>Relationship Score (/10)</t>
  </si>
  <si>
    <t>Product Attribute 1</t>
  </si>
  <si>
    <t>Product Attribute 2</t>
  </si>
  <si>
    <t>Product Attribute 3</t>
  </si>
  <si>
    <t>Product Attribute 4</t>
  </si>
  <si>
    <t>Raw Material</t>
  </si>
  <si>
    <t>Oats</t>
  </si>
  <si>
    <t>OAT-001</t>
  </si>
  <si>
    <t>Western Grains Co.</t>
  </si>
  <si>
    <t>Baramati</t>
  </si>
  <si>
    <t>100 MT/month</t>
  </si>
  <si>
    <t>ISO 22000, FSSAI</t>
  </si>
  <si>
    <t>A</t>
  </si>
  <si>
    <t>EDI</t>
  </si>
  <si>
    <t>Y</t>
  </si>
  <si>
    <t>Rolled</t>
  </si>
  <si>
    <t>Premium</t>
  </si>
  <si>
    <t>OAT-002</t>
  </si>
  <si>
    <t>Deccan Mills</t>
  </si>
  <si>
    <t>Solapur</t>
  </si>
  <si>
    <t>200 MT/month</t>
  </si>
  <si>
    <t>FSSAI, HACCP</t>
  </si>
  <si>
    <t>API</t>
  </si>
  <si>
    <t>Standard</t>
  </si>
  <si>
    <t>OAT-003</t>
  </si>
  <si>
    <t>Punjab Oats Ltd</t>
  </si>
  <si>
    <t>Mumbai Port</t>
  </si>
  <si>
    <t>500 MT/month</t>
  </si>
  <si>
    <t>ISO 9001</t>
  </si>
  <si>
    <t>B</t>
  </si>
  <si>
    <t>Basic</t>
  </si>
  <si>
    <t>Quick</t>
  </si>
  <si>
    <t>Bulk</t>
  </si>
  <si>
    <t>OAT-004</t>
  </si>
  <si>
    <t>Organic Farms Coop</t>
  </si>
  <si>
    <t>Nashik</t>
  </si>
  <si>
    <t>50 MT/month</t>
  </si>
  <si>
    <t>Organic, Fair Trade</t>
  </si>
  <si>
    <t>Organic</t>
  </si>
  <si>
    <t>OAT-005</t>
  </si>
  <si>
    <t>Karnataka Oat Producers</t>
  </si>
  <si>
    <t>Bengaluru</t>
  </si>
  <si>
    <t>800 MT/month</t>
  </si>
  <si>
    <t>FSSAI</t>
  </si>
  <si>
    <t>N</t>
  </si>
  <si>
    <t>Steel-cut</t>
  </si>
  <si>
    <t>OAT-006</t>
  </si>
  <si>
    <t>Quick Harvest Oats</t>
  </si>
  <si>
    <t>Pune</t>
  </si>
  <si>
    <t>80 MT/month</t>
  </si>
  <si>
    <t>ISO 22000</t>
  </si>
  <si>
    <t>Instant</t>
  </si>
  <si>
    <t>OAT-007</t>
  </si>
  <si>
    <t>Mega Grain Corp</t>
  </si>
  <si>
    <t>Delhi</t>
  </si>
  <si>
    <t>1500 MT/month</t>
  </si>
  <si>
    <t>Multiple</t>
  </si>
  <si>
    <t>C</t>
  </si>
  <si>
    <t>OAT-008</t>
  </si>
  <si>
    <t>Premium Rolled Oats</t>
  </si>
  <si>
    <t>Mumbai</t>
  </si>
  <si>
    <t>120 MT/month</t>
  </si>
  <si>
    <t>OAT-009</t>
  </si>
  <si>
    <t>Gluten-Free Oats Co</t>
  </si>
  <si>
    <t>40 MT/month</t>
  </si>
  <si>
    <t>Gluten-Free Cert</t>
  </si>
  <si>
    <t>Gluten-Free</t>
  </si>
  <si>
    <t>OAT-010</t>
  </si>
  <si>
    <t>South India Oats</t>
  </si>
  <si>
    <t>Chennai</t>
  </si>
  <si>
    <t>300 MT/month</t>
  </si>
  <si>
    <t>Multigrain Flakes</t>
  </si>
  <si>
    <t>FLAKE-001</t>
  </si>
  <si>
    <t>MultiGrain Foods</t>
  </si>
  <si>
    <t>5-Grain</t>
  </si>
  <si>
    <t>FLAKE-002</t>
  </si>
  <si>
    <t>Healthy Grains Co.</t>
  </si>
  <si>
    <t>7-Grain</t>
  </si>
  <si>
    <t>FLAKE-003</t>
  </si>
  <si>
    <t>Cereal Flakes Ltd</t>
  </si>
  <si>
    <t>3-Grain</t>
  </si>
  <si>
    <t>FLAKE-004</t>
  </si>
  <si>
    <t>Organic Flakes Coop</t>
  </si>
  <si>
    <t>30 MT/month</t>
  </si>
  <si>
    <t>Organic, USDA</t>
  </si>
  <si>
    <t>4-Grain</t>
  </si>
  <si>
    <t>FLAKE-005</t>
  </si>
  <si>
    <t>Premium Breakfast Flakes</t>
  </si>
  <si>
    <t>6-Grain</t>
  </si>
  <si>
    <t>FLAKE-006</t>
  </si>
  <si>
    <t>Ancient Grains Corp</t>
  </si>
  <si>
    <t>8-Grain</t>
  </si>
  <si>
    <t>FLAKE-007</t>
  </si>
  <si>
    <t>Quick Cook Flakes</t>
  </si>
  <si>
    <t>60 MT/month</t>
  </si>
  <si>
    <t>FLAKE-008</t>
  </si>
  <si>
    <t>Sugar-Free Flakes Co</t>
  </si>
  <si>
    <t>90 MT/month</t>
  </si>
  <si>
    <t>Diabetic-Friendly</t>
  </si>
  <si>
    <t>No Sugar</t>
  </si>
  <si>
    <t>FLAKE-009</t>
  </si>
  <si>
    <t>International Grains</t>
  </si>
  <si>
    <t>Global Certifications</t>
  </si>
  <si>
    <t>Mixed Global</t>
  </si>
  <si>
    <t>FLAKE-010</t>
  </si>
  <si>
    <t>Local Mill Flakes</t>
  </si>
  <si>
    <t>150 MT/month</t>
  </si>
  <si>
    <t>Traditional</t>
  </si>
  <si>
    <t>FRUIT-001</t>
  </si>
  <si>
    <t>Pune Dry Fruits</t>
  </si>
  <si>
    <t>Mixed</t>
  </si>
  <si>
    <t>Sun-dried</t>
  </si>
  <si>
    <t>No</t>
  </si>
  <si>
    <t>FRUIT-002</t>
  </si>
  <si>
    <t>Maharashtra Farms</t>
  </si>
  <si>
    <t>Ahmednagar</t>
  </si>
  <si>
    <t>Tray-dried</t>
  </si>
  <si>
    <t>Yes</t>
  </si>
  <si>
    <t>FRUIT-003</t>
  </si>
  <si>
    <t>Kashmir Nut Co.</t>
  </si>
  <si>
    <t>Raisins</t>
  </si>
  <si>
    <t>Solar-dried</t>
  </si>
  <si>
    <t>FRUIT-004</t>
  </si>
  <si>
    <t>South India Raisins</t>
  </si>
  <si>
    <t>Tunnel-dried</t>
  </si>
  <si>
    <t>FRUIT-005</t>
  </si>
  <si>
    <t>Apricot Gardens</t>
  </si>
  <si>
    <t>Apricots</t>
  </si>
  <si>
    <t>FRUIT-006</t>
  </si>
  <si>
    <t>Turkish Apricot Imports</t>
  </si>
  <si>
    <t>Advance</t>
  </si>
  <si>
    <t>Global Organic</t>
  </si>
  <si>
    <t>Natural</t>
  </si>
  <si>
    <t>FRUIT-007</t>
  </si>
  <si>
    <t>California Raisin Co</t>
  </si>
  <si>
    <t>100% Advance</t>
  </si>
  <si>
    <t>USDA Organic</t>
  </si>
  <si>
    <t>Mechanical</t>
  </si>
  <si>
    <t>FRUIT-008</t>
  </si>
  <si>
    <t>Local Fruit Coop</t>
  </si>
  <si>
    <t>Sangli</t>
  </si>
  <si>
    <t>FRUIT-009</t>
  </si>
  <si>
    <t>Premium Dried Fruits</t>
  </si>
  <si>
    <t>HACCP, ISO</t>
  </si>
  <si>
    <t>Freeze-dried</t>
  </si>
  <si>
    <t>FRUIT-010</t>
  </si>
  <si>
    <t>Berry &amp; Fruit Co</t>
  </si>
  <si>
    <t>Vacuum-dried</t>
  </si>
  <si>
    <t>FRUIT-011</t>
  </si>
  <si>
    <t>Wholesale Fruits Corp</t>
  </si>
  <si>
    <t>D</t>
  </si>
  <si>
    <t>Conventional</t>
  </si>
  <si>
    <t>FRUIT-012</t>
  </si>
  <si>
    <t>Artisanal Dried Fruits</t>
  </si>
  <si>
    <t>Satara</t>
  </si>
  <si>
    <t>Organic, Artisanal</t>
  </si>
  <si>
    <t>Hand-pitted</t>
  </si>
  <si>
    <t>Nuts &amp; Seeds</t>
  </si>
  <si>
    <t>SEED-001</t>
  </si>
  <si>
    <t>Nut &amp; Seed Co.</t>
  </si>
  <si>
    <t>SEED-002</t>
  </si>
  <si>
    <t>Almond Farms</t>
  </si>
  <si>
    <t>Almonds</t>
  </si>
  <si>
    <t>SEED-003</t>
  </si>
  <si>
    <t>Cashew Kings</t>
  </si>
  <si>
    <t>Cashews</t>
  </si>
  <si>
    <t>SEED-004</t>
  </si>
  <si>
    <t>Sunflower Seeds Ltd</t>
  </si>
  <si>
    <t>Sunflower</t>
  </si>
  <si>
    <t>SEED-005</t>
  </si>
  <si>
    <t>Organic Seeds Coop</t>
  </si>
  <si>
    <t>Organic, Non-GMO</t>
  </si>
  <si>
    <t>Chia/Flax</t>
  </si>
  <si>
    <t>SEED-006</t>
  </si>
  <si>
    <t>California Almonds</t>
  </si>
  <si>
    <t>SEED-007</t>
  </si>
  <si>
    <t>Premium Nut Mixers</t>
  </si>
  <si>
    <t>SEED-008</t>
  </si>
  <si>
    <t>Pumpkin Seed Co</t>
  </si>
  <si>
    <t>Pumpkin</t>
  </si>
  <si>
    <t>SEED-009</t>
  </si>
  <si>
    <t>Walnut Imports Ltd</t>
  </si>
  <si>
    <t>Global Cert</t>
  </si>
  <si>
    <t>Walnuts</t>
  </si>
  <si>
    <t>SEED-010</t>
  </si>
  <si>
    <t>Local Seed Farmers</t>
  </si>
  <si>
    <t>SEED-011</t>
  </si>
  <si>
    <t>Artisanal Nut Co</t>
  </si>
  <si>
    <t>Mixed Premium</t>
  </si>
  <si>
    <t>SEED-012</t>
  </si>
  <si>
    <t>Wholesale Nuts Corp</t>
  </si>
  <si>
    <t>Buffalo Milk</t>
  </si>
  <si>
    <t>BMILK-001</t>
  </si>
  <si>
    <t>Baramati Buffalo Dairy</t>
  </si>
  <si>
    <t>30 KL/day</t>
  </si>
  <si>
    <t>FSSAI, ISO</t>
  </si>
  <si>
    <t>&lt;200,000</t>
  </si>
  <si>
    <t>BMILK-002</t>
  </si>
  <si>
    <t>Pune Buffalo Farms</t>
  </si>
  <si>
    <t>Talegaon</t>
  </si>
  <si>
    <t>15 KL/day</t>
  </si>
  <si>
    <t>Organic, ISO 22000</t>
  </si>
  <si>
    <t>&lt;150,000</t>
  </si>
  <si>
    <t>BMILK-003</t>
  </si>
  <si>
    <t>Kolhapur Buffalo Union</t>
  </si>
  <si>
    <t>Kolhapur</t>
  </si>
  <si>
    <t>80 KL/day</t>
  </si>
  <si>
    <t>&lt;250,000</t>
  </si>
  <si>
    <t>BMILK-004</t>
  </si>
  <si>
    <t>Organic Buffalo Dairy</t>
  </si>
  <si>
    <t>8 KL/day</t>
  </si>
  <si>
    <t>Organic, Bio</t>
  </si>
  <si>
    <t>&lt;100,000</t>
  </si>
  <si>
    <t>BMILK-005</t>
  </si>
  <si>
    <t>Mega Milk Corp</t>
  </si>
  <si>
    <t>200 KL/day</t>
  </si>
  <si>
    <t>&lt;300,000</t>
  </si>
  <si>
    <t>BMILK-006</t>
  </si>
  <si>
    <t>Premium Buffalo Co</t>
  </si>
  <si>
    <t>25 KL/day</t>
  </si>
  <si>
    <t>&lt;120,000</t>
  </si>
  <si>
    <t>BMILK-007</t>
  </si>
  <si>
    <t>Local Buffalo Farmers</t>
  </si>
  <si>
    <t>60 KL/day</t>
  </si>
  <si>
    <t>&lt;280,000</t>
  </si>
  <si>
    <t>BMILK-008</t>
  </si>
  <si>
    <t>Cold Chain Milk Co</t>
  </si>
  <si>
    <t>40 KL/day</t>
  </si>
  <si>
    <t>&lt;180,000</t>
  </si>
  <si>
    <t>BMILK-009</t>
  </si>
  <si>
    <t>Traditional Dairy</t>
  </si>
  <si>
    <t>70 KL/day</t>
  </si>
  <si>
    <t>&lt;350,000</t>
  </si>
  <si>
    <t>BMILK-010</t>
  </si>
  <si>
    <t>A2 Buffalo Milk Co</t>
  </si>
  <si>
    <t>20 KL/day</t>
  </si>
  <si>
    <t>A2 Certified, Organic</t>
  </si>
  <si>
    <t>&lt;90,000</t>
  </si>
  <si>
    <t>Probiotic Culture</t>
  </si>
  <si>
    <t>PRO-001</t>
  </si>
  <si>
    <t>BioProbiotics India</t>
  </si>
  <si>
    <t>Pune SEZ</t>
  </si>
  <si>
    <t>50 kg/month</t>
  </si>
  <si>
    <t>ISO 13485</t>
  </si>
  <si>
    <t>Multi-Strain</t>
  </si>
  <si>
    <t>50B CFU/g</t>
  </si>
  <si>
    <t>24 months</t>
  </si>
  <si>
    <t>-20°C</t>
  </si>
  <si>
    <t>PRO-002</t>
  </si>
  <si>
    <t>Danish ProbioTech</t>
  </si>
  <si>
    <t>30 kg/month</t>
  </si>
  <si>
    <t>GMP, ISO</t>
  </si>
  <si>
    <t>LGG/Bifido</t>
  </si>
  <si>
    <t>100B CFU/g</t>
  </si>
  <si>
    <t>36 months</t>
  </si>
  <si>
    <t>PRO-003</t>
  </si>
  <si>
    <t>Local Probiotic Labs</t>
  </si>
  <si>
    <t>60 kg/month</t>
  </si>
  <si>
    <t>20B CFU/g</t>
  </si>
  <si>
    <t>18 months</t>
  </si>
  <si>
    <t>4°C</t>
  </si>
  <si>
    <t>PRO-004</t>
  </si>
  <si>
    <t>US Probiotic Imports</t>
  </si>
  <si>
    <t>20 kg/month</t>
  </si>
  <si>
    <t>FDA, USP</t>
  </si>
  <si>
    <t>200B CFU/g</t>
  </si>
  <si>
    <t>48 months</t>
  </si>
  <si>
    <t>-40°C</t>
  </si>
  <si>
    <t>PRO-005</t>
  </si>
  <si>
    <t>European BioCultures</t>
  </si>
  <si>
    <t>50% Advance</t>
  </si>
  <si>
    <t>40 kg/month</t>
  </si>
  <si>
    <t>EFSA, ISO</t>
  </si>
  <si>
    <t>75B CFU/g</t>
  </si>
  <si>
    <t>30 months</t>
  </si>
  <si>
    <t>PRO-006</t>
  </si>
  <si>
    <t>Asian Ferment Co</t>
  </si>
  <si>
    <t>100 kg/month</t>
  </si>
  <si>
    <t>10B CFU/g</t>
  </si>
  <si>
    <t>12 months</t>
  </si>
  <si>
    <t>PRO-007</t>
  </si>
  <si>
    <t>Research Biotech Ltd</t>
  </si>
  <si>
    <t>25 kg/month</t>
  </si>
  <si>
    <t>cGMP, ISO</t>
  </si>
  <si>
    <t>Research Grade</t>
  </si>
  <si>
    <t>300B CFU/g</t>
  </si>
  <si>
    <t>60 months</t>
  </si>
  <si>
    <t>-80°C</t>
  </si>
  <si>
    <t>PRO-008</t>
  </si>
  <si>
    <t>Indian Culture House</t>
  </si>
  <si>
    <t>80 kg/month</t>
  </si>
  <si>
    <t>15B CFU/g</t>
  </si>
  <si>
    <t>15 months</t>
  </si>
  <si>
    <t>Stabilizers</t>
  </si>
  <si>
    <t>STAB-001</t>
  </si>
  <si>
    <t>Food Gums India</t>
  </si>
  <si>
    <t>500 kg/month</t>
  </si>
  <si>
    <t>Pectin</t>
  </si>
  <si>
    <t>150-200 cps</t>
  </si>
  <si>
    <t>3-7 pH</t>
  </si>
  <si>
    <t>High</t>
  </si>
  <si>
    <t>STAB-002</t>
  </si>
  <si>
    <t>Guar Gum Co.</t>
  </si>
  <si>
    <t>1000 kg/month</t>
  </si>
  <si>
    <t>Guar Gum</t>
  </si>
  <si>
    <t>300-400 cps</t>
  </si>
  <si>
    <t>4-8 pH</t>
  </si>
  <si>
    <t>Medium</t>
  </si>
  <si>
    <t>STAB-003</t>
  </si>
  <si>
    <t>CP Kelco India</t>
  </si>
  <si>
    <t>300 kg/month</t>
  </si>
  <si>
    <t>Premium Pectin</t>
  </si>
  <si>
    <t>100-150 cps</t>
  </si>
  <si>
    <t>3-6 pH</t>
  </si>
  <si>
    <t>Very High</t>
  </si>
  <si>
    <t>STAB-004</t>
  </si>
  <si>
    <t>Local Stabilizers</t>
  </si>
  <si>
    <t>800 kg/month</t>
  </si>
  <si>
    <t>200-300 cps</t>
  </si>
  <si>
    <t>4-9 pH</t>
  </si>
  <si>
    <t>STAB-005</t>
  </si>
  <si>
    <t>European Gums Ltd</t>
  </si>
  <si>
    <t>200 kg/month</t>
  </si>
  <si>
    <t>EU Standards</t>
  </si>
  <si>
    <t>Xanthan Gum</t>
  </si>
  <si>
    <t>800-1000 cps</t>
  </si>
  <si>
    <t>2-10 pH</t>
  </si>
  <si>
    <t>STAB-006</t>
  </si>
  <si>
    <t>Natural Stabilizers</t>
  </si>
  <si>
    <t>150 kg/month</t>
  </si>
  <si>
    <t>Agar-Agar</t>
  </si>
  <si>
    <t>50-100 cps</t>
  </si>
  <si>
    <t>Low</t>
  </si>
  <si>
    <t>STAB-007</t>
  </si>
  <si>
    <t>Industrial Gums Corp</t>
  </si>
  <si>
    <t>2000 kg/month</t>
  </si>
  <si>
    <t>250-350 cps</t>
  </si>
  <si>
    <t>5-9 pH</t>
  </si>
  <si>
    <t>STAB-008</t>
  </si>
  <si>
    <t>Premium Stabilizer Co</t>
  </si>
  <si>
    <t>Blend</t>
  </si>
  <si>
    <t>180-220 cps</t>
  </si>
  <si>
    <t>STAB-009</t>
  </si>
  <si>
    <t>Quick Soluble Gums</t>
  </si>
  <si>
    <t>Instant Pectin</t>
  </si>
  <si>
    <t>120-180 cps</t>
  </si>
  <si>
    <t>4-7 pH</t>
  </si>
  <si>
    <t>STAB-010</t>
  </si>
  <si>
    <t>Bio-Stabilizers Ltd</t>
  </si>
  <si>
    <t>Bangalore</t>
  </si>
  <si>
    <t>120 kg/month</t>
  </si>
  <si>
    <t>Natural Gums</t>
  </si>
  <si>
    <t>200-250 cps</t>
  </si>
  <si>
    <t>Wheat Flour</t>
  </si>
  <si>
    <t>FLOUR-001</t>
  </si>
  <si>
    <t>Pune Flour Mills</t>
  </si>
  <si>
    <t>Strong</t>
  </si>
  <si>
    <t>FLOUR-002</t>
  </si>
  <si>
    <t>Golden Grains</t>
  </si>
  <si>
    <t>Very Strong</t>
  </si>
  <si>
    <t>FLOUR-003</t>
  </si>
  <si>
    <t>MP Grain Corp</t>
  </si>
  <si>
    <t>1000 MT/month</t>
  </si>
  <si>
    <t>FLOUR-004</t>
  </si>
  <si>
    <t>Premium Atta Co.</t>
  </si>
  <si>
    <t>FLOUR-005</t>
  </si>
  <si>
    <t>Whole Wheat Flour Co</t>
  </si>
  <si>
    <t>FLOUR-006</t>
  </si>
  <si>
    <t>Artisanal Mill</t>
  </si>
  <si>
    <t>Stone Ground</t>
  </si>
  <si>
    <t>FLOUR-007</t>
  </si>
  <si>
    <t>Industrial Flour Corp</t>
  </si>
  <si>
    <t>2000 MT/month</t>
  </si>
  <si>
    <t>Weak</t>
  </si>
  <si>
    <t>FLOUR-008</t>
  </si>
  <si>
    <t>Gluten-Free Flour Co</t>
  </si>
  <si>
    <t>&lt;20ppm</t>
  </si>
  <si>
    <t>N/A</t>
  </si>
  <si>
    <t>FLOUR-009</t>
  </si>
  <si>
    <t>Premium Bakery Flour</t>
  </si>
  <si>
    <t>HACCP</t>
  </si>
  <si>
    <t>FLOUR-010</t>
  </si>
  <si>
    <t>Local Chakki Atta</t>
  </si>
  <si>
    <t>400 MT/month</t>
  </si>
  <si>
    <t>FLOUR-011</t>
  </si>
  <si>
    <t>Imported Flour Ltd</t>
  </si>
  <si>
    <t>Canadian Wheat</t>
  </si>
  <si>
    <t>FLOUR-012</t>
  </si>
  <si>
    <t>Organic Whole Wheat</t>
  </si>
  <si>
    <t>Vegetable Oil</t>
  </si>
  <si>
    <t>OIL-001</t>
  </si>
  <si>
    <t>Local Oil Refiners</t>
  </si>
  <si>
    <t>Refined</t>
  </si>
  <si>
    <t>OIL-002</t>
  </si>
  <si>
    <t>Sunflower Oil Co.</t>
  </si>
  <si>
    <t>Virgin</t>
  </si>
  <si>
    <t>OIL-003</t>
  </si>
  <si>
    <t>RSPO Certified Oil</t>
  </si>
  <si>
    <t>RSPO, ISO</t>
  </si>
  <si>
    <t>Palm</t>
  </si>
  <si>
    <t>Sustainable</t>
  </si>
  <si>
    <t>OIL-004</t>
  </si>
  <si>
    <t>Canola Oil Imports</t>
  </si>
  <si>
    <t>Canola</t>
  </si>
  <si>
    <t>OIL-005</t>
  </si>
  <si>
    <t>Cold Pressed Oils</t>
  </si>
  <si>
    <t>Mustard</t>
  </si>
  <si>
    <t>Cold Pressed</t>
  </si>
  <si>
    <t>OIL-006</t>
  </si>
  <si>
    <t>Industrial Oil Corp</t>
  </si>
  <si>
    <t>Soybean</t>
  </si>
  <si>
    <t>OIL-007</t>
  </si>
  <si>
    <t>Premium Olive Oil</t>
  </si>
  <si>
    <t>Extra Virgin</t>
  </si>
  <si>
    <t>Olive</t>
  </si>
  <si>
    <t>OIL-008</t>
  </si>
  <si>
    <t>Rice Bran Oil Co</t>
  </si>
  <si>
    <t>Rice Bran</t>
  </si>
  <si>
    <t>OIL-009</t>
  </si>
  <si>
    <t>Coconut Oil Specialists</t>
  </si>
  <si>
    <t>Coconut</t>
  </si>
  <si>
    <t>OIL-010</t>
  </si>
  <si>
    <t>Blended Oil Makers</t>
  </si>
  <si>
    <t>Sugar</t>
  </si>
  <si>
    <t>SUGAR-001</t>
  </si>
  <si>
    <t>Pune Sugar Mills</t>
  </si>
  <si>
    <t>45 ICUMSA</t>
  </si>
  <si>
    <t>SUGAR-002</t>
  </si>
  <si>
    <t>Maharashtra Sugar</t>
  </si>
  <si>
    <t>Fine</t>
  </si>
  <si>
    <t>60 ICUMSA</t>
  </si>
  <si>
    <t>SUGAR-003</t>
  </si>
  <si>
    <t>Sugar Imports Ltd</t>
  </si>
  <si>
    <t>Coarse</t>
  </si>
  <si>
    <t>100 ICUMSA</t>
  </si>
  <si>
    <t>SUGAR-004</t>
  </si>
  <si>
    <t>Organic Sugar Coop</t>
  </si>
  <si>
    <t>30 ICUMSA</t>
  </si>
  <si>
    <t>SUGAR-005</t>
  </si>
  <si>
    <t>Premium Crystal Sugar</t>
  </si>
  <si>
    <t>Superfine</t>
  </si>
  <si>
    <t>25 ICUMSA</t>
  </si>
  <si>
    <t>SUGAR-006</t>
  </si>
  <si>
    <t>Brown Sugar Co</t>
  </si>
  <si>
    <t>Brown</t>
  </si>
  <si>
    <t>150 ICUMSA</t>
  </si>
  <si>
    <t>SUGAR-007</t>
  </si>
  <si>
    <t>Industrial Sugar Corp</t>
  </si>
  <si>
    <t>200 ICUMSA</t>
  </si>
  <si>
    <t>SUGAR-008</t>
  </si>
  <si>
    <t>Liquid Sugar Solutions</t>
  </si>
  <si>
    <t>Liquid</t>
  </si>
  <si>
    <t>50 ICUMSA</t>
  </si>
  <si>
    <t>SUGAR-009</t>
  </si>
  <si>
    <t>Diabetic Sugar Co</t>
  </si>
  <si>
    <t>Substitute</t>
  </si>
  <si>
    <t>10 ICUMSA</t>
  </si>
  <si>
    <t>SUGAR-010</t>
  </si>
  <si>
    <t>Imported Cane Sugar</t>
  </si>
  <si>
    <t>20 ICUMSA</t>
  </si>
  <si>
    <t>Salt</t>
  </si>
  <si>
    <t>SALT-001</t>
  </si>
  <si>
    <t>Tata Salt</t>
  </si>
  <si>
    <t>Iodized</t>
  </si>
  <si>
    <t>30 ppm</t>
  </si>
  <si>
    <t>SALT-002</t>
  </si>
  <si>
    <t>Local Salt Co.</t>
  </si>
  <si>
    <t>Regular</t>
  </si>
  <si>
    <t>15 ppm</t>
  </si>
  <si>
    <t>SALT-003</t>
  </si>
  <si>
    <t>Sea Salt Imports</t>
  </si>
  <si>
    <t>Himalayan</t>
  </si>
  <si>
    <t>0 ppm</t>
  </si>
  <si>
    <t>SALT-004</t>
  </si>
  <si>
    <t>Food Grade Salt</t>
  </si>
  <si>
    <t>Free Flow</t>
  </si>
  <si>
    <t>25 ppm</t>
  </si>
  <si>
    <t>SALT-005</t>
  </si>
  <si>
    <t>Low Sodium Salt</t>
  </si>
  <si>
    <t>Health Cert</t>
  </si>
  <si>
    <t>Low Sodium</t>
  </si>
  <si>
    <t>20 ppm</t>
  </si>
  <si>
    <t>SALT-006</t>
  </si>
  <si>
    <t>Industrial Salt Corp</t>
  </si>
  <si>
    <t>3000 MT/month</t>
  </si>
  <si>
    <t>10 ppm</t>
  </si>
  <si>
    <t>SALT-007</t>
  </si>
  <si>
    <t>Artisanal Salt Co</t>
  </si>
  <si>
    <t>Goa</t>
  </si>
  <si>
    <t>Artisanal</t>
  </si>
  <si>
    <t>Sea Salt</t>
  </si>
  <si>
    <t>SALT-008</t>
  </si>
  <si>
    <t>Flavored Salt Mixers</t>
  </si>
  <si>
    <t>Flavored</t>
  </si>
  <si>
    <t>Yeast</t>
  </si>
  <si>
    <t>YEAST-001</t>
  </si>
  <si>
    <t>German Yeast Co.</t>
  </si>
  <si>
    <t>10B cells/g</t>
  </si>
  <si>
    <t>YEAST-002</t>
  </si>
  <si>
    <t>Local Ferment Co.</t>
  </si>
  <si>
    <t>Chakan</t>
  </si>
  <si>
    <t>Active Dry</t>
  </si>
  <si>
    <t>5B cells/g</t>
  </si>
  <si>
    <t>YEAST-003</t>
  </si>
  <si>
    <t>French Baker's Yeast</t>
  </si>
  <si>
    <t>Fresh</t>
  </si>
  <si>
    <t>15B cells/g</t>
  </si>
  <si>
    <t>30 days</t>
  </si>
  <si>
    <t>YEAST-004</t>
  </si>
  <si>
    <t>Indian Yeast Mfg</t>
  </si>
  <si>
    <t>Compressed</t>
  </si>
  <si>
    <t>8B cells/g</t>
  </si>
  <si>
    <t>45 days</t>
  </si>
  <si>
    <t>YEAST-005</t>
  </si>
  <si>
    <t>Premium Bakery Yeast</t>
  </si>
  <si>
    <t>12B cells/g</t>
  </si>
  <si>
    <t>YEAST-006</t>
  </si>
  <si>
    <t>Organic Yeast Co</t>
  </si>
  <si>
    <t>6B cells/g</t>
  </si>
  <si>
    <t>YEAST-007</t>
  </si>
  <si>
    <t>Industrial Yeast Corp</t>
  </si>
  <si>
    <t>Bulk Dry</t>
  </si>
  <si>
    <t>3B cells/g</t>
  </si>
  <si>
    <t>YEAST-008</t>
  </si>
  <si>
    <t>Quick Rise Yeast</t>
  </si>
  <si>
    <t>180 kg/month</t>
  </si>
  <si>
    <t>Rapid Rise</t>
  </si>
  <si>
    <t>9B cells/g</t>
  </si>
  <si>
    <t>Peanuts</t>
  </si>
  <si>
    <t>PEAN-001</t>
  </si>
  <si>
    <t>Sangli Groundnut Co.</t>
  </si>
  <si>
    <t>Raw</t>
  </si>
  <si>
    <t>Spanish</t>
  </si>
  <si>
    <t>45% oil</t>
  </si>
  <si>
    <t>PEAN-002</t>
  </si>
  <si>
    <t>Maharashtra Peanuts</t>
  </si>
  <si>
    <t>Blanched</t>
  </si>
  <si>
    <t>Virginia</t>
  </si>
  <si>
    <t>48% oil</t>
  </si>
  <si>
    <t>PEAN-003</t>
  </si>
  <si>
    <t>Gujarat Nut Co.</t>
  </si>
  <si>
    <t>Runner</t>
  </si>
  <si>
    <t>46% oil</t>
  </si>
  <si>
    <t>PEAN-004</t>
  </si>
  <si>
    <t>Karnataka Organic</t>
  </si>
  <si>
    <t>Valencia</t>
  </si>
  <si>
    <t>44% oil</t>
  </si>
  <si>
    <t>PEAN-005</t>
  </si>
  <si>
    <t>Roasted Peanuts Ltd</t>
  </si>
  <si>
    <t>Roasted</t>
  </si>
  <si>
    <t>47% oil</t>
  </si>
  <si>
    <t>PEAN-006</t>
  </si>
  <si>
    <t>Premium Peanut Co</t>
  </si>
  <si>
    <t>49% oil</t>
  </si>
  <si>
    <t>PEAN-007</t>
  </si>
  <si>
    <t>Wholesale Peanuts</t>
  </si>
  <si>
    <t>43% oil</t>
  </si>
  <si>
    <t>PEAN-008</t>
  </si>
  <si>
    <t>Salted Peanuts Co</t>
  </si>
  <si>
    <t>Salted</t>
  </si>
  <si>
    <t>PEAN-009</t>
  </si>
  <si>
    <t>Organic Raw Peanuts</t>
  </si>
  <si>
    <t>Organic Raw</t>
  </si>
  <si>
    <t>42% oil</t>
  </si>
  <si>
    <t>PEAN-010</t>
  </si>
  <si>
    <t>Imported Peanuts</t>
  </si>
  <si>
    <t>50% oil</t>
  </si>
  <si>
    <t>Honey</t>
  </si>
  <si>
    <t>HONEY-001</t>
  </si>
  <si>
    <t>Pune Honey Farms</t>
  </si>
  <si>
    <t>Multiflora</t>
  </si>
  <si>
    <t>15 HMF</t>
  </si>
  <si>
    <t>15 DN</t>
  </si>
  <si>
    <t>HONEY-002</t>
  </si>
  <si>
    <t>Maharashtra Apiary</t>
  </si>
  <si>
    <t>Wild Forest</t>
  </si>
  <si>
    <t>10 HMF</t>
  </si>
  <si>
    <t>20 DN</t>
  </si>
  <si>
    <t>HONEY-003</t>
  </si>
  <si>
    <t>Organic Honey Coop</t>
  </si>
  <si>
    <t>Organic Wild</t>
  </si>
  <si>
    <t>5 HMF</t>
  </si>
  <si>
    <t>25 DN</t>
  </si>
  <si>
    <t>HONEY-004</t>
  </si>
  <si>
    <t>Imported Honey</t>
  </si>
  <si>
    <t>Manuka</t>
  </si>
  <si>
    <t>8 HMF</t>
  </si>
  <si>
    <t>30 DN</t>
  </si>
  <si>
    <t>HONEY-005</t>
  </si>
  <si>
    <t>Premium Honey Co</t>
  </si>
  <si>
    <t>Eucalyptus</t>
  </si>
  <si>
    <t>12 HMF</t>
  </si>
  <si>
    <t>18 DN</t>
  </si>
  <si>
    <t>HONEY-006</t>
  </si>
  <si>
    <t>Local Honey Farmers</t>
  </si>
  <si>
    <t>Mixed Flora</t>
  </si>
  <si>
    <t>25 HMF</t>
  </si>
  <si>
    <t>12 DN</t>
  </si>
  <si>
    <t>HONEY-007</t>
  </si>
  <si>
    <t>Artisanal Honey Co</t>
  </si>
  <si>
    <t>Jungle Honey</t>
  </si>
  <si>
    <t>6 HMF</t>
  </si>
  <si>
    <t>28 DN</t>
  </si>
  <si>
    <t>HONEY-008</t>
  </si>
  <si>
    <t>Industrial Honey Corp</t>
  </si>
  <si>
    <t>40 HMF</t>
  </si>
  <si>
    <t>8 DN</t>
  </si>
  <si>
    <t>HONEY-009</t>
  </si>
  <si>
    <t>Creamed Honey Co</t>
  </si>
  <si>
    <t>400 kg/month</t>
  </si>
  <si>
    <t>Creamed</t>
  </si>
  <si>
    <t>18 HMF</t>
  </si>
  <si>
    <t>16 DN</t>
  </si>
  <si>
    <t>HONEY-010</t>
  </si>
  <si>
    <t>Medicinal Honey Ltd</t>
  </si>
  <si>
    <t>Medical Grade</t>
  </si>
  <si>
    <t>Sidr Honey</t>
  </si>
  <si>
    <t>4 HMF</t>
  </si>
  <si>
    <t>35 DN</t>
  </si>
  <si>
    <t>Palm Oil</t>
  </si>
  <si>
    <t>PALM-001</t>
  </si>
  <si>
    <t>RSPO Palm Oil</t>
  </si>
  <si>
    <t>RSPO</t>
  </si>
  <si>
    <t>RBD</t>
  </si>
  <si>
    <t>55 IV</t>
  </si>
  <si>
    <t>36°C</t>
  </si>
  <si>
    <t>PALM-002</t>
  </si>
  <si>
    <t>Sustainable Palm</t>
  </si>
  <si>
    <t>53 IV</t>
  </si>
  <si>
    <t>35°C</t>
  </si>
  <si>
    <t>PALM-003</t>
  </si>
  <si>
    <t>Local Palm Oil</t>
  </si>
  <si>
    <t>Crude</t>
  </si>
  <si>
    <t>50 IV</t>
  </si>
  <si>
    <t>40°C</t>
  </si>
  <si>
    <t>PALM-004</t>
  </si>
  <si>
    <t>Organic Palm Oil</t>
  </si>
  <si>
    <t>52 IV</t>
  </si>
  <si>
    <t>34°C</t>
  </si>
  <si>
    <t>PALM-005</t>
  </si>
  <si>
    <t>Fractionated Palm</t>
  </si>
  <si>
    <t>Fractionated</t>
  </si>
  <si>
    <t>48 IV</t>
  </si>
  <si>
    <t>24°C</t>
  </si>
  <si>
    <t>PALM-006</t>
  </si>
  <si>
    <t>Industrial Palm Corp</t>
  </si>
  <si>
    <t>45 IV</t>
  </si>
  <si>
    <t>42°C</t>
  </si>
  <si>
    <t>PALM-007</t>
  </si>
  <si>
    <t>Red Palm Oil Co</t>
  </si>
  <si>
    <t>Red Palm</t>
  </si>
  <si>
    <t>54 IV</t>
  </si>
  <si>
    <t>38°C</t>
  </si>
  <si>
    <t>PALM-008</t>
  </si>
  <si>
    <t>Premium Palm Oil</t>
  </si>
  <si>
    <t>70 MT/month</t>
  </si>
  <si>
    <t>RBD Olein</t>
  </si>
  <si>
    <t>56 IV</t>
  </si>
  <si>
    <t>22°C</t>
  </si>
  <si>
    <t>Olive Oil</t>
  </si>
  <si>
    <t>OLIVE-001</t>
  </si>
  <si>
    <t>Spanish Olive Imports</t>
  </si>
  <si>
    <t>50 KL/month</t>
  </si>
  <si>
    <t>DOP</t>
  </si>
  <si>
    <t>0.3% acidity</t>
  </si>
  <si>
    <t>&lt;0.5%</t>
  </si>
  <si>
    <t>OLIVE-002</t>
  </si>
  <si>
    <t>Italian Premium Oils</t>
  </si>
  <si>
    <t>20 KL/month</t>
  </si>
  <si>
    <t>DOP, IGP</t>
  </si>
  <si>
    <t>0.2% acidity</t>
  </si>
  <si>
    <t>&lt;0.3%</t>
  </si>
  <si>
    <t>OLIVE-003</t>
  </si>
  <si>
    <t>Turkish Olive Co.</t>
  </si>
  <si>
    <t>100 KL/month</t>
  </si>
  <si>
    <t>Turkish Std</t>
  </si>
  <si>
    <t>0.8% acidity</t>
  </si>
  <si>
    <t>&lt;1%</t>
  </si>
  <si>
    <t>OLIVE-004</t>
  </si>
  <si>
    <t>Greek Oil Exports</t>
  </si>
  <si>
    <t>30 KL/month</t>
  </si>
  <si>
    <t>PDO</t>
  </si>
  <si>
    <t>0.4% acidity</t>
  </si>
  <si>
    <t>&lt;0.4%</t>
  </si>
  <si>
    <t>OLIVE-005</t>
  </si>
  <si>
    <t>California Olive Oil</t>
  </si>
  <si>
    <t>40 KL/month</t>
  </si>
  <si>
    <t>COOC</t>
  </si>
  <si>
    <t>0.25% acidity</t>
  </si>
  <si>
    <t>&lt;0.2%</t>
  </si>
  <si>
    <t>OLIVE-006</t>
  </si>
  <si>
    <t>Australian Olive Co</t>
  </si>
  <si>
    <t>35 KL/month</t>
  </si>
  <si>
    <t>AOA</t>
  </si>
  <si>
    <t>0.35% acidity</t>
  </si>
  <si>
    <t>&lt;0.45%</t>
  </si>
  <si>
    <t>OLIVE-007</t>
  </si>
  <si>
    <t>Blended Olive Oil</t>
  </si>
  <si>
    <t>80 KL/month</t>
  </si>
  <si>
    <t>Pure</t>
  </si>
  <si>
    <t>1% acidity</t>
  </si>
  <si>
    <t>&lt;1.5%</t>
  </si>
  <si>
    <t>OLIVE-008</t>
  </si>
  <si>
    <t>Light Olive Oil</t>
  </si>
  <si>
    <t>Light</t>
  </si>
  <si>
    <t>1.5% acidity</t>
  </si>
  <si>
    <t>&lt;2%</t>
  </si>
  <si>
    <t>Packaging</t>
  </si>
  <si>
    <t>Laminated Pouches</t>
  </si>
  <si>
    <t>POUCH-001</t>
  </si>
  <si>
    <t>FlexiPack Ltd</t>
  </si>
  <si>
    <t>500000 units/month</t>
  </si>
  <si>
    <t>Stand-up</t>
  </si>
  <si>
    <t>5-layer</t>
  </si>
  <si>
    <t>100 microns</t>
  </si>
  <si>
    <t>POUCH-002</t>
  </si>
  <si>
    <t>Standup Pouches</t>
  </si>
  <si>
    <t>800000 units/month</t>
  </si>
  <si>
    <t>Pillow</t>
  </si>
  <si>
    <t>3-layer</t>
  </si>
  <si>
    <t>80 microns</t>
  </si>
  <si>
    <t>POUCH-003</t>
  </si>
  <si>
    <t>Laminated Films</t>
  </si>
  <si>
    <t>300000 units/month</t>
  </si>
  <si>
    <t>Gusseted</t>
  </si>
  <si>
    <t>7-layer</t>
  </si>
  <si>
    <t>120 microns</t>
  </si>
  <si>
    <t>POUCH-004</t>
  </si>
  <si>
    <t>Premium Pouches</t>
  </si>
  <si>
    <t>100000 units/month</t>
  </si>
  <si>
    <t>Retort</t>
  </si>
  <si>
    <t>9-layer</t>
  </si>
  <si>
    <t>150 microns</t>
  </si>
  <si>
    <t>POUCH-005</t>
  </si>
  <si>
    <t>Eco-Friendly Packs</t>
  </si>
  <si>
    <t>150000 units/month</t>
  </si>
  <si>
    <t>Compostable</t>
  </si>
  <si>
    <t>Biodegradable</t>
  </si>
  <si>
    <t>PLA</t>
  </si>
  <si>
    <t>POUCH-006</t>
  </si>
  <si>
    <t>Industrial Pouches</t>
  </si>
  <si>
    <t>1000000 units/month</t>
  </si>
  <si>
    <t>Simple</t>
  </si>
  <si>
    <t>2-layer</t>
  </si>
  <si>
    <t>60 microns</t>
  </si>
  <si>
    <t>POUCH-007</t>
  </si>
  <si>
    <t>Zipper Pouch Co</t>
  </si>
  <si>
    <t>200000 units/month</t>
  </si>
  <si>
    <t>Zipper</t>
  </si>
  <si>
    <t>4-layer</t>
  </si>
  <si>
    <t>90 microns</t>
  </si>
  <si>
    <t>POUCH-008</t>
  </si>
  <si>
    <t>Clear View Pouches</t>
  </si>
  <si>
    <t>250000 units/month</t>
  </si>
  <si>
    <t>Window</t>
  </si>
  <si>
    <t>110 microns</t>
  </si>
  <si>
    <t>Labels</t>
  </si>
  <si>
    <t>LABEL-001</t>
  </si>
  <si>
    <t>PrintLabel Co</t>
  </si>
  <si>
    <t>Paper</t>
  </si>
  <si>
    <t>Glossy</t>
  </si>
  <si>
    <t>CMYK</t>
  </si>
  <si>
    <t>LABEL-002</t>
  </si>
  <si>
    <t>Sticker Makers</t>
  </si>
  <si>
    <t>1500000 units/month</t>
  </si>
  <si>
    <t>Vinyl</t>
  </si>
  <si>
    <t>Matte</t>
  </si>
  <si>
    <t>Pantone</t>
  </si>
  <si>
    <t>LABEL-003</t>
  </si>
  <si>
    <t>Premium Labels</t>
  </si>
  <si>
    <t>Polypropylene</t>
  </si>
  <si>
    <t>Metallic</t>
  </si>
  <si>
    <t>Spot UV</t>
  </si>
  <si>
    <t>LABEL-004</t>
  </si>
  <si>
    <t>Industrial Labels</t>
  </si>
  <si>
    <t>2000000 units/month</t>
  </si>
  <si>
    <t>Basic Paper</t>
  </si>
  <si>
    <t>1-color</t>
  </si>
  <si>
    <t>LABEL-005</t>
  </si>
  <si>
    <t>Eco Labels</t>
  </si>
  <si>
    <t>400000 units/month</t>
  </si>
  <si>
    <t>Recycled</t>
  </si>
  <si>
    <t>Recycled Paper</t>
  </si>
  <si>
    <t>Uncoated</t>
  </si>
  <si>
    <t>Soy Ink</t>
  </si>
  <si>
    <t>LABEL-006</t>
  </si>
  <si>
    <t>Smart Labels</t>
  </si>
  <si>
    <t>RFID/NFC</t>
  </si>
  <si>
    <t>Smart Label</t>
  </si>
  <si>
    <t>RFID</t>
  </si>
  <si>
    <t>QR Code</t>
  </si>
  <si>
    <t>LABEL-007</t>
  </si>
  <si>
    <t>Clear Labels</t>
  </si>
  <si>
    <t>600000 units/month</t>
  </si>
  <si>
    <t>Transparent</t>
  </si>
  <si>
    <t>Clear</t>
  </si>
  <si>
    <t>Digital Print</t>
  </si>
  <si>
    <t>LABEL-008</t>
  </si>
  <si>
    <t>Thermal Labels</t>
  </si>
  <si>
    <t>Thermal</t>
  </si>
  <si>
    <t>Direct Thermal</t>
  </si>
  <si>
    <t>Barcode</t>
  </si>
  <si>
    <t>LDPE Bags</t>
  </si>
  <si>
    <t>BAG-001</t>
  </si>
  <si>
    <t>PolyBag India</t>
  </si>
  <si>
    <t>LDPE</t>
  </si>
  <si>
    <t>40 microns</t>
  </si>
  <si>
    <t>12x18"</t>
  </si>
  <si>
    <t>BAG-002</t>
  </si>
  <si>
    <t>FoodSafe Bags</t>
  </si>
  <si>
    <t>3000000 units/month</t>
  </si>
  <si>
    <t>HDPE</t>
  </si>
  <si>
    <t>50 microns</t>
  </si>
  <si>
    <t>14x20"</t>
  </si>
  <si>
    <t>BAG-003</t>
  </si>
  <si>
    <t>ClearView Packs</t>
  </si>
  <si>
    <t>LLDPE</t>
  </si>
  <si>
    <t>30 microns</t>
  </si>
  <si>
    <t>10x15"</t>
  </si>
  <si>
    <t>BAG-004</t>
  </si>
  <si>
    <t>Industrial Bags Corp</t>
  </si>
  <si>
    <t>5000000 units/month</t>
  </si>
  <si>
    <t>25 microns</t>
  </si>
  <si>
    <t>Various</t>
  </si>
  <si>
    <t>BAG-005</t>
  </si>
  <si>
    <t>Premium Bags Co</t>
  </si>
  <si>
    <t>Coex</t>
  </si>
  <si>
    <t>Custom</t>
  </si>
  <si>
    <t>BAG-006</t>
  </si>
  <si>
    <t>Zipper Bags Ltd</t>
  </si>
  <si>
    <t>Zipper Bag</t>
  </si>
  <si>
    <t>45 microns</t>
  </si>
  <si>
    <t>Resealable</t>
  </si>
  <si>
    <t>BAG-007</t>
  </si>
  <si>
    <t>Eco Bags</t>
  </si>
  <si>
    <t>BAG-008</t>
  </si>
  <si>
    <t>Printed Bags Co</t>
  </si>
  <si>
    <t>Printed</t>
  </si>
  <si>
    <t>35 microns</t>
  </si>
  <si>
    <t>4-color</t>
  </si>
  <si>
    <t>Clips/Seals</t>
  </si>
  <si>
    <t>CLIP-001</t>
  </si>
  <si>
    <t>ClipMaster Co</t>
  </si>
  <si>
    <t>Plastic Clip</t>
  </si>
  <si>
    <t>50mm</t>
  </si>
  <si>
    <t>CLIP-002</t>
  </si>
  <si>
    <t>SealFast Ltd</t>
  </si>
  <si>
    <t>8000000 units/month</t>
  </si>
  <si>
    <t>Metal Clip</t>
  </si>
  <si>
    <t>Heavy Duty</t>
  </si>
  <si>
    <t>60mm</t>
  </si>
  <si>
    <t>CLIP-003</t>
  </si>
  <si>
    <t>Premium Clips</t>
  </si>
  <si>
    <t>Colored Clip</t>
  </si>
  <si>
    <t>CLIP-004</t>
  </si>
  <si>
    <t>Industrial Clips Corp</t>
  </si>
  <si>
    <t>10000000 units/month</t>
  </si>
  <si>
    <t>Basic Clip</t>
  </si>
  <si>
    <t>Economy</t>
  </si>
  <si>
    <t>40mm</t>
  </si>
  <si>
    <t>CLIP-005</t>
  </si>
  <si>
    <t>Reusable Clips</t>
  </si>
  <si>
    <t>Eco-friendly</t>
  </si>
  <si>
    <t>Reusable Clip</t>
  </si>
  <si>
    <t>Durable</t>
  </si>
  <si>
    <t>55mm</t>
  </si>
  <si>
    <t>CLIP-006</t>
  </si>
  <si>
    <t>Bag Closures Co</t>
  </si>
  <si>
    <t>6000000 units/month</t>
  </si>
  <si>
    <t>Twist Tie</t>
  </si>
  <si>
    <t>Flexible</t>
  </si>
  <si>
    <t>30cm</t>
  </si>
  <si>
    <t>CLIP-007</t>
  </si>
  <si>
    <t>Custom Clips Ltd</t>
  </si>
  <si>
    <t>2500000 units/month</t>
  </si>
  <si>
    <t>Logo Clip</t>
  </si>
  <si>
    <t>Branded</t>
  </si>
  <si>
    <t>CLIP-008</t>
  </si>
  <si>
    <t>Sealing Solutions</t>
  </si>
  <si>
    <t>4000000 units/month</t>
  </si>
  <si>
    <t>Heat Seal</t>
  </si>
  <si>
    <t>Tamper-proof</t>
  </si>
  <si>
    <t>PET Jars</t>
  </si>
  <si>
    <t>PETJAR-001</t>
  </si>
  <si>
    <t>PET Containers</t>
  </si>
  <si>
    <t>Round</t>
  </si>
  <si>
    <t>250ml</t>
  </si>
  <si>
    <t>38mm neck</t>
  </si>
  <si>
    <t>PETJAR-002</t>
  </si>
  <si>
    <t>Plastic Jar Co</t>
  </si>
  <si>
    <t>Square</t>
  </si>
  <si>
    <t>500ml</t>
  </si>
  <si>
    <t>58mm neck</t>
  </si>
  <si>
    <t>PETJAR-003</t>
  </si>
  <si>
    <t>Food Grade PET</t>
  </si>
  <si>
    <t>Oval</t>
  </si>
  <si>
    <t>1000ml</t>
  </si>
  <si>
    <t>70mm neck</t>
  </si>
  <si>
    <t>PETJAR-004</t>
  </si>
  <si>
    <t>Premium PET Jars</t>
  </si>
  <si>
    <t>80000 units/month</t>
  </si>
  <si>
    <t>Designer</t>
  </si>
  <si>
    <t>750ml</t>
  </si>
  <si>
    <t>63mm neck</t>
  </si>
  <si>
    <t>PETJAR-005</t>
  </si>
  <si>
    <t>Eco PET Co</t>
  </si>
  <si>
    <t>Recycled PET</t>
  </si>
  <si>
    <t>300ml</t>
  </si>
  <si>
    <t>45mm neck</t>
  </si>
  <si>
    <t>PETJAR-006</t>
  </si>
  <si>
    <t>Industrial Jars Corp</t>
  </si>
  <si>
    <t>PETJAR-007</t>
  </si>
  <si>
    <t>Custom Jars Ltd</t>
  </si>
  <si>
    <t>180000 units/month</t>
  </si>
  <si>
    <t>Custom Shape</t>
  </si>
  <si>
    <t>PETJAR-008</t>
  </si>
  <si>
    <t>Transparent PET</t>
  </si>
  <si>
    <t>Cylinder</t>
  </si>
  <si>
    <t>400ml</t>
  </si>
  <si>
    <t>53mm neck</t>
  </si>
  <si>
    <t>Aluminum Foil Lids</t>
  </si>
  <si>
    <t>FOIL-001</t>
  </si>
  <si>
    <t>FoilSeal Ltd</t>
  </si>
  <si>
    <t>90mm</t>
  </si>
  <si>
    <t>FOIL-002</t>
  </si>
  <si>
    <t>Aluminum Lids</t>
  </si>
  <si>
    <t>Peelable</t>
  </si>
  <si>
    <t>100mm</t>
  </si>
  <si>
    <t>FOIL-003</t>
  </si>
  <si>
    <t>Premium Foils</t>
  </si>
  <si>
    <t>110mm</t>
  </si>
  <si>
    <t>FOIL-004</t>
  </si>
  <si>
    <t>Industrial Foils Corp</t>
  </si>
  <si>
    <t>FOIL-005</t>
  </si>
  <si>
    <t>Heat Seal Lids</t>
  </si>
  <si>
    <t>38 microns</t>
  </si>
  <si>
    <t>95mm</t>
  </si>
  <si>
    <t>FOIL-006</t>
  </si>
  <si>
    <t>Custom Foil Lids</t>
  </si>
  <si>
    <t>Custom Print</t>
  </si>
  <si>
    <t>FOIL-007</t>
  </si>
  <si>
    <t>Tamper Evident Lids</t>
  </si>
  <si>
    <t>3500000 units/month</t>
  </si>
  <si>
    <t>Security</t>
  </si>
  <si>
    <t>42 microns</t>
  </si>
  <si>
    <t>105mm</t>
  </si>
  <si>
    <t>FOIL-008</t>
  </si>
  <si>
    <t>Eco Foil Lids</t>
  </si>
  <si>
    <t>Recyclable</t>
  </si>
  <si>
    <t>32 microns</t>
  </si>
  <si>
    <t>92mm</t>
  </si>
  <si>
    <t>Induction Seals</t>
  </si>
  <si>
    <t>SEAL-001</t>
  </si>
  <si>
    <t>Foil-Paper</t>
  </si>
  <si>
    <t>SEAL-002</t>
  </si>
  <si>
    <t>TamperProof Co</t>
  </si>
  <si>
    <t>Tamper Evident</t>
  </si>
  <si>
    <t>58mm</t>
  </si>
  <si>
    <t>Foil-Foil</t>
  </si>
  <si>
    <t>SEAL-003</t>
  </si>
  <si>
    <t>Safety Seals Ltd</t>
  </si>
  <si>
    <t>63mm</t>
  </si>
  <si>
    <t>Multi-layer</t>
  </si>
  <si>
    <t>SEAL-004</t>
  </si>
  <si>
    <t>Premium Seals</t>
  </si>
  <si>
    <t>70mm</t>
  </si>
  <si>
    <t>Foil-PET</t>
  </si>
  <si>
    <t>SEAL-005</t>
  </si>
  <si>
    <t>Industrial Seals Corp</t>
  </si>
  <si>
    <t>45mm</t>
  </si>
  <si>
    <t>SEAL-006</t>
  </si>
  <si>
    <t>Quick Seals Co</t>
  </si>
  <si>
    <t>53mm</t>
  </si>
  <si>
    <t>SEAL-007</t>
  </si>
  <si>
    <t>Eco Seals</t>
  </si>
  <si>
    <t>120000 units/month</t>
  </si>
  <si>
    <t>48mm</t>
  </si>
  <si>
    <t>SEAL-008</t>
  </si>
  <si>
    <t>Security Seals</t>
  </si>
  <si>
    <t>High Security</t>
  </si>
  <si>
    <t>75mm</t>
  </si>
  <si>
    <t>Holographic</t>
  </si>
  <si>
    <t>Shrink Wrapping</t>
  </si>
  <si>
    <t>SHRINK-001</t>
  </si>
  <si>
    <t>ShrinkPack Ltd</t>
  </si>
  <si>
    <t>PVC</t>
  </si>
  <si>
    <t>Centerfold</t>
  </si>
  <si>
    <t>SHRINK-002</t>
  </si>
  <si>
    <t>FilmWrapping Co</t>
  </si>
  <si>
    <t>Polyolefin</t>
  </si>
  <si>
    <t>Sealed Edge</t>
  </si>
  <si>
    <t>SHRINK-003</t>
  </si>
  <si>
    <t>ClearShrink Packs</t>
  </si>
  <si>
    <t>PETG</t>
  </si>
  <si>
    <t>20 microns</t>
  </si>
  <si>
    <t>Perforated</t>
  </si>
  <si>
    <t>SHRINK-004</t>
  </si>
  <si>
    <t>Industrial Shrink Corp</t>
  </si>
  <si>
    <t>SHRINK-005</t>
  </si>
  <si>
    <t>Premium Shrink</t>
  </si>
  <si>
    <t>OPS</t>
  </si>
  <si>
    <t>15 microns</t>
  </si>
  <si>
    <t>SHRINK-006</t>
  </si>
  <si>
    <t>Eco Shrink Co</t>
  </si>
  <si>
    <t>22 microns</t>
  </si>
  <si>
    <t>SHRINK-007</t>
  </si>
  <si>
    <t>Custom Shrink Packs</t>
  </si>
  <si>
    <t>Custom Film</t>
  </si>
  <si>
    <t>SHRINK-008</t>
  </si>
  <si>
    <t>Security Shrink</t>
  </si>
  <si>
    <t>Security Film</t>
  </si>
  <si>
    <t>Ice Gel Packs</t>
  </si>
  <si>
    <t>ICE-001</t>
  </si>
  <si>
    <t>ColdChain Packs</t>
  </si>
  <si>
    <t>50000 units/month</t>
  </si>
  <si>
    <t>200x300mm</t>
  </si>
  <si>
    <t>48 hours</t>
  </si>
  <si>
    <t>ICE-002</t>
  </si>
  <si>
    <t>Gel Pack Mfg</t>
  </si>
  <si>
    <t>Large</t>
  </si>
  <si>
    <t>300x400mm</t>
  </si>
  <si>
    <t>72 hours</t>
  </si>
  <si>
    <t>ICE-003</t>
  </si>
  <si>
    <t>Reusable Ice Packs</t>
  </si>
  <si>
    <t>25000 units/month</t>
  </si>
  <si>
    <t>Reusable</t>
  </si>
  <si>
    <t>250x350mm</t>
  </si>
  <si>
    <t>96 hours</t>
  </si>
  <si>
    <t>ICE-004</t>
  </si>
  <si>
    <t>Industrial Ice Corp</t>
  </si>
  <si>
    <t>150x200mm</t>
  </si>
  <si>
    <t>24 hours</t>
  </si>
  <si>
    <t>ICE-005</t>
  </si>
  <si>
    <t>Premium Gel Packs</t>
  </si>
  <si>
    <t>40000 units/month</t>
  </si>
  <si>
    <t>350x450mm</t>
  </si>
  <si>
    <t>120 hours</t>
  </si>
  <si>
    <t>ICE-006</t>
  </si>
  <si>
    <t>Custom Ice Packs</t>
  </si>
  <si>
    <t>Custom Size</t>
  </si>
  <si>
    <t>ICE-007</t>
  </si>
  <si>
    <t>Eco Gel Packs</t>
  </si>
  <si>
    <t>30000 units/month</t>
  </si>
  <si>
    <t>ICE-008</t>
  </si>
  <si>
    <t>Phase Change Packs</t>
  </si>
  <si>
    <t>20000 units/month</t>
  </si>
  <si>
    <t>Advanced</t>
  </si>
  <si>
    <t>Phase Change</t>
  </si>
  <si>
    <t>168 hours</t>
  </si>
  <si>
    <t>Cold Chain Crates</t>
  </si>
  <si>
    <t>CRATE-001</t>
  </si>
  <si>
    <t>Plastic Crates</t>
  </si>
  <si>
    <t>10000 units/month</t>
  </si>
  <si>
    <t>20L</t>
  </si>
  <si>
    <t>Stackable</t>
  </si>
  <si>
    <t>CRATE-002</t>
  </si>
  <si>
    <t>Cold Storage Crates</t>
  </si>
  <si>
    <t>Insulated</t>
  </si>
  <si>
    <t>30L</t>
  </si>
  <si>
    <t>With Lid</t>
  </si>
  <si>
    <t>CRATE-003</t>
  </si>
  <si>
    <t>Insulated Crates</t>
  </si>
  <si>
    <t>5000 units/month</t>
  </si>
  <si>
    <t>40L</t>
  </si>
  <si>
    <t>CRATE-004</t>
  </si>
  <si>
    <t>Industrial Crates Corp</t>
  </si>
  <si>
    <t>25L</t>
  </si>
  <si>
    <t>CRATE-005</t>
  </si>
  <si>
    <t>Collapsible Crates</t>
  </si>
  <si>
    <t>15000 units/month</t>
  </si>
  <si>
    <t>Collapsible</t>
  </si>
  <si>
    <t>35L</t>
  </si>
  <si>
    <t>Space-saving</t>
  </si>
  <si>
    <t>CRATE-006</t>
  </si>
  <si>
    <t>Euro Crates</t>
  </si>
  <si>
    <t>12000 units/month</t>
  </si>
  <si>
    <t>EU Standard</t>
  </si>
  <si>
    <t>Euro Size</t>
  </si>
  <si>
    <t>60L</t>
  </si>
  <si>
    <t>CRATE-007</t>
  </si>
  <si>
    <t>Custom Crates Ltd</t>
  </si>
  <si>
    <t>8000 units/month</t>
  </si>
  <si>
    <t>CRATE-008</t>
  </si>
  <si>
    <t>Sustainable Crates</t>
  </si>
  <si>
    <t>45L</t>
  </si>
  <si>
    <t>Dark Glass Bottles</t>
  </si>
  <si>
    <t>DARK-001</t>
  </si>
  <si>
    <t>Amber Glass Co</t>
  </si>
  <si>
    <t>Amber</t>
  </si>
  <si>
    <t>DARK-002</t>
  </si>
  <si>
    <t>UV Glass Bottles</t>
  </si>
  <si>
    <t>UV Protected</t>
  </si>
  <si>
    <t>DARK-003</t>
  </si>
  <si>
    <t>Imported Dark Glass</t>
  </si>
  <si>
    <t>European</t>
  </si>
  <si>
    <t>DARK-004</t>
  </si>
  <si>
    <t>Premium Glass Co</t>
  </si>
  <si>
    <t>Cobalt Blue</t>
  </si>
  <si>
    <t>28mm neck</t>
  </si>
  <si>
    <t>DARK-005</t>
  </si>
  <si>
    <t>Industrial Glass Corp</t>
  </si>
  <si>
    <t>DARK-006</t>
  </si>
  <si>
    <t>Custom Glass Bottles</t>
  </si>
  <si>
    <t>DARK-007</t>
  </si>
  <si>
    <t>Eco Glass Co</t>
  </si>
  <si>
    <t>Recycled Glass</t>
  </si>
  <si>
    <t>DARK-008</t>
  </si>
  <si>
    <t>Lightweight Glass</t>
  </si>
  <si>
    <t>Lightweight</t>
  </si>
  <si>
    <t>Metal Screw Caps</t>
  </si>
  <si>
    <t>CAP-001</t>
  </si>
  <si>
    <t>Metal Caps Ltd</t>
  </si>
  <si>
    <t>38mm</t>
  </si>
  <si>
    <t>Aluminum</t>
  </si>
  <si>
    <t>CAP-002</t>
  </si>
  <si>
    <t>Screw Cap Mfg</t>
  </si>
  <si>
    <t>Tinplate</t>
  </si>
  <si>
    <t>CAP-003</t>
  </si>
  <si>
    <t>Premium Caps</t>
  </si>
  <si>
    <t>Stainless Steel</t>
  </si>
  <si>
    <t>CAP-004</t>
  </si>
  <si>
    <t>Industrial Caps Corp</t>
  </si>
  <si>
    <t>Basic Metal</t>
  </si>
  <si>
    <t>CAP-005</t>
  </si>
  <si>
    <t>Custom Caps Ltd</t>
  </si>
  <si>
    <t>Custom Design</t>
  </si>
  <si>
    <t>CAP-006</t>
  </si>
  <si>
    <t>Tamper Band Caps</t>
  </si>
  <si>
    <t>With Band</t>
  </si>
  <si>
    <t>CAP-007</t>
  </si>
  <si>
    <t>Eco Caps Co</t>
  </si>
  <si>
    <t>Recycled Metal</t>
  </si>
  <si>
    <t>CAP-008</t>
  </si>
  <si>
    <t>Child-proof Caps</t>
  </si>
  <si>
    <t>Safety</t>
  </si>
  <si>
    <t>Child-proof</t>
  </si>
  <si>
    <t>Safety Lock</t>
  </si>
  <si>
    <t>Safety Cartons</t>
  </si>
  <si>
    <t>SAFETY-001</t>
  </si>
  <si>
    <t>Safety Box Co</t>
  </si>
  <si>
    <t>6-bottle</t>
  </si>
  <si>
    <t>3-ply</t>
  </si>
  <si>
    <t>SAFETY-002</t>
  </si>
  <si>
    <t>Corrugated Safety</t>
  </si>
  <si>
    <t>12-bottle</t>
  </si>
  <si>
    <t>5-ply</t>
  </si>
  <si>
    <t>SAFETY-003</t>
  </si>
  <si>
    <t>Premium Cartons</t>
  </si>
  <si>
    <t>4-bottle</t>
  </si>
  <si>
    <t>7-ply</t>
  </si>
  <si>
    <t>SAFETY-004</t>
  </si>
  <si>
    <t>Industrial Cartons Corp</t>
  </si>
  <si>
    <t>2-ply</t>
  </si>
  <si>
    <t>SAFETY-005</t>
  </si>
  <si>
    <t>Eco Cartons Co</t>
  </si>
  <si>
    <t>8-bottle</t>
  </si>
  <si>
    <t>SAFETY-006</t>
  </si>
  <si>
    <t>Display Cartons</t>
  </si>
  <si>
    <t>Display</t>
  </si>
  <si>
    <t>SAFETY-007</t>
  </si>
  <si>
    <t>Custom Cartons Ltd</t>
  </si>
  <si>
    <t>SAFETY-008</t>
  </si>
  <si>
    <t>Security Cartons</t>
  </si>
  <si>
    <t>18000 units/month</t>
  </si>
  <si>
    <t xml:space="preserve">  Price:        25%  (Cost matters)</t>
  </si>
  <si>
    <t xml:space="preserve">  Quality:      25%  (Food safety critical!)</t>
  </si>
  <si>
    <t xml:space="preserve">  Defect Rate:  15%  (Food quality critical!)</t>
  </si>
  <si>
    <t xml:space="preserve">  OTIF:         15%  (Supply reliability)</t>
  </si>
  <si>
    <t xml:space="preserve">  Lead Time:    10%  (Freshness matters)</t>
  </si>
  <si>
    <t xml:space="preserve">  Distance:     5%   (Fresh food = shorter distance)</t>
  </si>
  <si>
    <t xml:space="preserve">  MOQ:          3%   (Flexibility)</t>
  </si>
  <si>
    <t xml:space="preserve">  Relationship: 2%   (Partnership)</t>
  </si>
  <si>
    <t>RAW MATERIALS</t>
  </si>
  <si>
    <t xml:space="preserve">  Price:        30%  (Cost sensitive)</t>
  </si>
  <si>
    <t xml:space="preserve">  Lead Time:    25%  (Just-in-time production)</t>
  </si>
  <si>
    <t xml:space="preserve">  OTIF:         20%  (Production line can't stop)</t>
  </si>
  <si>
    <t xml:space="preserve">  Quality:      15%  (Appearance matters)</t>
  </si>
  <si>
    <t xml:space="preserve">  MOQ:          5%   (Seasonal demand)</t>
  </si>
  <si>
    <t xml:space="preserve">  Distance:     5%   (Shipping cost)</t>
  </si>
  <si>
    <t>PACKAGING</t>
  </si>
  <si>
    <t>Cost_Score</t>
  </si>
  <si>
    <t>Defect_Score</t>
  </si>
  <si>
    <t>Quality_Score</t>
  </si>
  <si>
    <t>OTIF_Score</t>
  </si>
  <si>
    <t>Lead_Time_Score</t>
  </si>
  <si>
    <t>Distance_Score</t>
  </si>
  <si>
    <t>MOQ_Score</t>
  </si>
  <si>
    <t>Weighted_Score</t>
  </si>
  <si>
    <t>Rank</t>
  </si>
  <si>
    <t>#PACKAGING MATERILAS WEIGHTED SCORE CALCULATIONS</t>
  </si>
  <si>
    <t>Relationship_Score</t>
  </si>
  <si>
    <t xml:space="preserve">#RAW MATERIALS WEIGHTED SCORE CALCULATIONS </t>
  </si>
  <si>
    <t>PACKAGING MATERIALS</t>
  </si>
  <si>
    <t>Raw Materials</t>
  </si>
  <si>
    <t>Multigarin Flakes</t>
  </si>
  <si>
    <t>Dry Fruits</t>
  </si>
  <si>
    <t>Penuts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</si>
</sst>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8"/>
      <color rgb="FF0F1115"/>
      <name val="Consolas"/>
      <family val="3"/>
    </font>
    <font>
      <sz val="11"/>
      <color theme="1"/>
      <name val="Arial Black"/>
      <family val="2"/>
    </font>
    <font>
      <sz val="11"/>
      <color rgb="FF0F1115"/>
      <name val="Arial Black"/>
      <family val="2"/>
    </font>
    <font>
      <sz val="11"/>
      <color rgb="FF0F1115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4"/>
      <color theme="1"/>
      <name val="Arial Black"/>
      <family val="2"/>
    </font>
    <font>
      <b/>
      <sz val="9"/>
      <color rgb="FF0F111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10" fontId="2" fillId="3" borderId="5" xfId="0" applyNumberFormat="1" applyFont="1" applyFill="1" applyBorder="1" applyAlignment="1">
      <alignment horizontal="left" vertical="center" wrapText="1" indent="1"/>
    </xf>
    <xf numFmtId="9" fontId="2" fillId="3" borderId="5" xfId="0" applyNumberFormat="1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7" borderId="1" xfId="0" applyFont="1" applyFill="1" applyBorder="1" applyAlignment="1">
      <alignment horizontal="left" vertical="center" wrapText="1" indent="1"/>
    </xf>
    <xf numFmtId="0" fontId="10" fillId="7" borderId="2" xfId="0" applyFont="1" applyFill="1" applyBorder="1" applyAlignment="1">
      <alignment horizontal="left" vertical="center" wrapText="1" indent="1"/>
    </xf>
    <xf numFmtId="0" fontId="1" fillId="7" borderId="7" xfId="0" applyFont="1" applyFill="1" applyBorder="1"/>
    <xf numFmtId="0" fontId="1" fillId="7" borderId="8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0" fillId="8" borderId="0" xfId="0" applyFill="1"/>
    <xf numFmtId="0" fontId="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07FD-61F2-4651-A4FF-817AF4CB5B57}">
  <dimension ref="B1:Z21"/>
  <sheetViews>
    <sheetView workbookViewId="0">
      <selection activeCell="B16" sqref="B16"/>
    </sheetView>
  </sheetViews>
  <sheetFormatPr defaultRowHeight="14.4" x14ac:dyDescent="0.3"/>
  <cols>
    <col min="2" max="2" width="41" bestFit="1" customWidth="1"/>
    <col min="3" max="3" width="6.5546875" customWidth="1"/>
    <col min="4" max="4" width="43.44140625" bestFit="1" customWidth="1"/>
    <col min="5" max="5" width="8.88671875" customWidth="1"/>
    <col min="23" max="23" width="14.77734375" bestFit="1" customWidth="1"/>
    <col min="26" max="26" width="24.44140625" customWidth="1"/>
  </cols>
  <sheetData>
    <row r="1" spans="2:26" x14ac:dyDescent="0.3">
      <c r="C1" s="9"/>
    </row>
    <row r="2" spans="2:26" x14ac:dyDescent="0.3">
      <c r="C2" s="9"/>
    </row>
    <row r="3" spans="2:26" ht="17.399999999999999" x14ac:dyDescent="0.45">
      <c r="B3" s="17" t="s">
        <v>1203</v>
      </c>
      <c r="C3" s="18"/>
      <c r="D3" s="19" t="s">
        <v>1196</v>
      </c>
      <c r="W3" t="s">
        <v>1217</v>
      </c>
      <c r="Z3" t="s">
        <v>731</v>
      </c>
    </row>
    <row r="4" spans="2:26" x14ac:dyDescent="0.3">
      <c r="B4" s="9"/>
      <c r="C4" s="9"/>
      <c r="W4" t="s">
        <v>30</v>
      </c>
      <c r="Z4" s="15" t="s">
        <v>732</v>
      </c>
    </row>
    <row r="5" spans="2:26" x14ac:dyDescent="0.3">
      <c r="B5" s="16" t="s">
        <v>1197</v>
      </c>
      <c r="C5" s="16"/>
      <c r="D5" s="16" t="s">
        <v>1188</v>
      </c>
      <c r="W5" t="s">
        <v>1218</v>
      </c>
      <c r="Z5" t="s">
        <v>780</v>
      </c>
    </row>
    <row r="6" spans="2:26" x14ac:dyDescent="0.3">
      <c r="B6" s="16" t="s">
        <v>1198</v>
      </c>
      <c r="C6" s="16"/>
      <c r="D6" s="16" t="s">
        <v>1189</v>
      </c>
      <c r="W6" t="s">
        <v>1219</v>
      </c>
      <c r="Z6" s="15" t="s">
        <v>826</v>
      </c>
    </row>
    <row r="7" spans="2:26" x14ac:dyDescent="0.3">
      <c r="B7" s="16" t="s">
        <v>1199</v>
      </c>
      <c r="C7" s="16"/>
      <c r="D7" s="16" t="s">
        <v>1190</v>
      </c>
      <c r="W7" t="s">
        <v>181</v>
      </c>
      <c r="Z7" s="15" t="s">
        <v>864</v>
      </c>
    </row>
    <row r="8" spans="2:26" x14ac:dyDescent="0.3">
      <c r="B8" s="16" t="s">
        <v>1200</v>
      </c>
      <c r="C8" s="16"/>
      <c r="D8" s="16" t="s">
        <v>1191</v>
      </c>
      <c r="W8" t="s">
        <v>215</v>
      </c>
      <c r="Z8" s="15" t="s">
        <v>906</v>
      </c>
    </row>
    <row r="9" spans="2:26" x14ac:dyDescent="0.3">
      <c r="B9" s="16" t="s">
        <v>1201</v>
      </c>
      <c r="C9" s="16"/>
      <c r="D9" s="16" t="s">
        <v>1192</v>
      </c>
      <c r="W9" t="s">
        <v>262</v>
      </c>
      <c r="Z9" s="15" t="s">
        <v>944</v>
      </c>
    </row>
    <row r="10" spans="2:26" x14ac:dyDescent="0.3">
      <c r="B10" s="16" t="s">
        <v>1202</v>
      </c>
      <c r="C10" s="16"/>
      <c r="D10" s="16" t="s">
        <v>1193</v>
      </c>
      <c r="W10" t="s">
        <v>317</v>
      </c>
      <c r="Z10" s="15" t="s">
        <v>975</v>
      </c>
    </row>
    <row r="11" spans="2:26" x14ac:dyDescent="0.3">
      <c r="B11" s="16"/>
      <c r="D11" s="16" t="s">
        <v>1194</v>
      </c>
      <c r="W11" t="s">
        <v>377</v>
      </c>
      <c r="Z11" s="15" t="s">
        <v>1006</v>
      </c>
    </row>
    <row r="12" spans="2:26" x14ac:dyDescent="0.3">
      <c r="B12" s="8"/>
      <c r="D12" s="16" t="s">
        <v>1195</v>
      </c>
      <c r="W12" t="s">
        <v>413</v>
      </c>
      <c r="Z12" s="15" t="s">
        <v>1035</v>
      </c>
    </row>
    <row r="13" spans="2:26" x14ac:dyDescent="0.3">
      <c r="B13" s="8"/>
      <c r="D13" s="9"/>
      <c r="W13" t="s">
        <v>447</v>
      </c>
      <c r="Z13" s="15" t="s">
        <v>1073</v>
      </c>
    </row>
    <row r="14" spans="2:26" x14ac:dyDescent="0.3">
      <c r="B14" s="8"/>
      <c r="D14" s="9"/>
      <c r="W14" t="s">
        <v>484</v>
      </c>
      <c r="Z14" s="15" t="s">
        <v>1109</v>
      </c>
    </row>
    <row r="15" spans="2:26" x14ac:dyDescent="0.3">
      <c r="B15" s="8"/>
      <c r="D15" s="9"/>
      <c r="W15" t="s">
        <v>518</v>
      </c>
      <c r="Z15" s="15" t="s">
        <v>1133</v>
      </c>
    </row>
    <row r="16" spans="2:26" x14ac:dyDescent="0.3">
      <c r="D16" s="9"/>
      <c r="W16" t="s">
        <v>1220</v>
      </c>
      <c r="Z16" s="15" t="s">
        <v>1161</v>
      </c>
    </row>
    <row r="17" spans="4:23" x14ac:dyDescent="0.3">
      <c r="D17" s="9"/>
      <c r="W17" t="s">
        <v>591</v>
      </c>
    </row>
    <row r="18" spans="4:23" x14ac:dyDescent="0.3">
      <c r="D18" s="9"/>
      <c r="W18" t="s">
        <v>643</v>
      </c>
    </row>
    <row r="19" spans="4:23" x14ac:dyDescent="0.3">
      <c r="D19" s="9"/>
      <c r="W19" t="s">
        <v>683</v>
      </c>
    </row>
    <row r="20" spans="4:23" x14ac:dyDescent="0.3">
      <c r="D20" s="9"/>
    </row>
    <row r="21" spans="4:23" x14ac:dyDescent="0.3">
      <c r="D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E0EB-F68F-4D8A-A925-BBD639D333D2}">
  <dimension ref="B4:BC267"/>
  <sheetViews>
    <sheetView topLeftCell="AC4" zoomScale="84" zoomScaleNormal="80" workbookViewId="0">
      <selection activeCell="AH8" sqref="AH8"/>
    </sheetView>
  </sheetViews>
  <sheetFormatPr defaultRowHeight="14.4" x14ac:dyDescent="0.3"/>
  <cols>
    <col min="34" max="34" width="10.21875" bestFit="1" customWidth="1"/>
    <col min="35" max="35" width="13.44140625" bestFit="1" customWidth="1"/>
    <col min="36" max="36" width="12.88671875" bestFit="1" customWidth="1"/>
    <col min="37" max="37" width="10.33203125" bestFit="1" customWidth="1"/>
    <col min="38" max="38" width="15.5546875" bestFit="1" customWidth="1"/>
    <col min="39" max="39" width="14.77734375" bestFit="1" customWidth="1"/>
    <col min="40" max="40" width="10.88671875" bestFit="1" customWidth="1"/>
    <col min="41" max="41" width="19" bestFit="1" customWidth="1"/>
    <col min="42" max="42" width="16.109375" bestFit="1" customWidth="1"/>
    <col min="43" max="43" width="7.88671875" customWidth="1"/>
    <col min="44" max="44" width="11" bestFit="1" customWidth="1"/>
    <col min="45" max="45" width="11.21875" bestFit="1" customWidth="1"/>
    <col min="46" max="46" width="9.44140625" customWidth="1"/>
    <col min="47" max="47" width="13.6640625" bestFit="1" customWidth="1"/>
    <col min="48" max="48" width="15.5546875" bestFit="1" customWidth="1"/>
    <col min="49" max="49" width="10.33203125" bestFit="1" customWidth="1"/>
    <col min="50" max="50" width="13.44140625" bestFit="1" customWidth="1"/>
    <col min="51" max="51" width="10.88671875" bestFit="1" customWidth="1"/>
    <col min="52" max="52" width="14.77734375" bestFit="1" customWidth="1"/>
    <col min="53" max="53" width="15.44140625" bestFit="1" customWidth="1"/>
    <col min="54" max="54" width="8" customWidth="1"/>
    <col min="55" max="55" width="24.44140625" bestFit="1" customWidth="1"/>
  </cols>
  <sheetData>
    <row r="4" spans="2:55" ht="21" x14ac:dyDescent="0.45">
      <c r="AH4" s="28" t="s">
        <v>1215</v>
      </c>
      <c r="AI4" s="29"/>
      <c r="AJ4" s="29"/>
      <c r="AK4" s="29"/>
      <c r="AL4" s="29"/>
      <c r="AM4" s="29"/>
      <c r="AN4" s="29"/>
      <c r="AO4" s="29"/>
      <c r="AP4" s="29"/>
      <c r="AU4" s="30" t="s">
        <v>1213</v>
      </c>
      <c r="AV4" s="31"/>
      <c r="AW4" s="31"/>
      <c r="AX4" s="31"/>
      <c r="AY4" s="31"/>
      <c r="AZ4" s="31"/>
      <c r="BA4" s="31"/>
      <c r="BB4" s="31"/>
      <c r="BC4" s="31"/>
    </row>
    <row r="5" spans="2:55" x14ac:dyDescent="0.3">
      <c r="AH5" s="10"/>
      <c r="AI5" s="10"/>
      <c r="AJ5" s="10"/>
      <c r="AK5" s="10"/>
      <c r="AL5" s="10"/>
      <c r="AM5" s="10"/>
      <c r="AN5" s="10"/>
      <c r="AO5" s="10"/>
      <c r="AP5" s="10"/>
    </row>
    <row r="6" spans="2:55" ht="15" thickBot="1" x14ac:dyDescent="0.35">
      <c r="AH6" s="11">
        <v>0.25</v>
      </c>
      <c r="AI6" s="11">
        <v>0.25</v>
      </c>
      <c r="AJ6" s="11">
        <v>0.15</v>
      </c>
      <c r="AK6" s="11">
        <v>0.15</v>
      </c>
      <c r="AL6" s="11">
        <v>0.1</v>
      </c>
      <c r="AM6" s="11">
        <v>0.05</v>
      </c>
      <c r="AN6" s="11">
        <v>0.03</v>
      </c>
      <c r="AO6" s="11">
        <v>0.02</v>
      </c>
      <c r="AU6" s="11">
        <v>0.3</v>
      </c>
      <c r="AV6" s="11">
        <v>0.25</v>
      </c>
      <c r="AW6" s="11">
        <v>0.2</v>
      </c>
      <c r="AX6" s="11">
        <v>0.15</v>
      </c>
      <c r="AY6" s="11">
        <v>0.05</v>
      </c>
      <c r="AZ6" s="11">
        <v>0.05</v>
      </c>
      <c r="BA6" s="11"/>
    </row>
    <row r="7" spans="2:55" ht="53.4" thickBot="1" x14ac:dyDescent="0.35">
      <c r="B7" s="1" t="s">
        <v>0</v>
      </c>
      <c r="C7" s="13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2" t="s">
        <v>15</v>
      </c>
      <c r="R7" s="2" t="s">
        <v>16</v>
      </c>
      <c r="S7" s="2" t="s">
        <v>17</v>
      </c>
      <c r="T7" s="2" t="s">
        <v>18</v>
      </c>
      <c r="U7" s="2" t="s">
        <v>19</v>
      </c>
      <c r="V7" s="2" t="s">
        <v>20</v>
      </c>
      <c r="W7" s="2" t="s">
        <v>21</v>
      </c>
      <c r="X7" s="2" t="s">
        <v>22</v>
      </c>
      <c r="Y7" s="2" t="s">
        <v>23</v>
      </c>
      <c r="Z7" s="2" t="s">
        <v>24</v>
      </c>
      <c r="AA7" s="2" t="s">
        <v>25</v>
      </c>
      <c r="AB7" s="2" t="s">
        <v>26</v>
      </c>
      <c r="AC7" s="2" t="s">
        <v>27</v>
      </c>
      <c r="AD7" s="3" t="s">
        <v>28</v>
      </c>
      <c r="AF7" s="15" t="s">
        <v>1</v>
      </c>
      <c r="AG7" s="15" t="s">
        <v>3</v>
      </c>
      <c r="AH7" t="s">
        <v>1204</v>
      </c>
      <c r="AI7" t="s">
        <v>1206</v>
      </c>
      <c r="AJ7" t="s">
        <v>1205</v>
      </c>
      <c r="AK7" t="s">
        <v>1207</v>
      </c>
      <c r="AL7" t="s">
        <v>1208</v>
      </c>
      <c r="AM7" t="s">
        <v>1209</v>
      </c>
      <c r="AN7" t="s">
        <v>1210</v>
      </c>
      <c r="AO7" t="s">
        <v>1214</v>
      </c>
      <c r="AP7" t="s">
        <v>1211</v>
      </c>
      <c r="AQ7" t="s">
        <v>1212</v>
      </c>
      <c r="AR7" t="s">
        <v>2</v>
      </c>
      <c r="AS7" s="15" t="s">
        <v>1</v>
      </c>
      <c r="AT7" s="15" t="s">
        <v>3</v>
      </c>
      <c r="AU7" t="s">
        <v>1204</v>
      </c>
      <c r="AV7" t="s">
        <v>1208</v>
      </c>
      <c r="AW7" t="s">
        <v>1207</v>
      </c>
      <c r="AX7" t="s">
        <v>1206</v>
      </c>
      <c r="AY7" t="s">
        <v>1210</v>
      </c>
      <c r="AZ7" t="s">
        <v>1209</v>
      </c>
      <c r="BA7" t="s">
        <v>1211</v>
      </c>
      <c r="BB7" t="s">
        <v>1212</v>
      </c>
      <c r="BC7" t="s">
        <v>2</v>
      </c>
    </row>
    <row r="8" spans="2:55" ht="39.6" x14ac:dyDescent="0.3">
      <c r="B8" s="4" t="s">
        <v>29</v>
      </c>
      <c r="C8" s="14" t="s">
        <v>30</v>
      </c>
      <c r="D8" s="4" t="s">
        <v>31</v>
      </c>
      <c r="E8" s="4" t="s">
        <v>32</v>
      </c>
      <c r="F8" s="4" t="s">
        <v>33</v>
      </c>
      <c r="G8" s="4">
        <v>65</v>
      </c>
      <c r="H8" s="4">
        <v>75</v>
      </c>
      <c r="I8" s="4">
        <v>500</v>
      </c>
      <c r="J8" s="4">
        <v>37500</v>
      </c>
      <c r="K8" s="4">
        <v>2</v>
      </c>
      <c r="L8" s="4">
        <v>1</v>
      </c>
      <c r="M8" s="4">
        <v>0.8</v>
      </c>
      <c r="N8" s="4">
        <v>96</v>
      </c>
      <c r="O8" s="4">
        <v>30</v>
      </c>
      <c r="P8" s="4" t="s">
        <v>34</v>
      </c>
      <c r="Q8" s="4">
        <v>8.1999999999999993</v>
      </c>
      <c r="R8" s="4">
        <v>9.1</v>
      </c>
      <c r="S8" s="4" t="s">
        <v>35</v>
      </c>
      <c r="T8" s="4">
        <v>7.5</v>
      </c>
      <c r="U8" s="4" t="s">
        <v>36</v>
      </c>
      <c r="V8" s="4" t="s">
        <v>37</v>
      </c>
      <c r="W8" s="4">
        <v>3</v>
      </c>
      <c r="X8" s="4" t="s">
        <v>38</v>
      </c>
      <c r="Y8" s="4">
        <v>15</v>
      </c>
      <c r="Z8" s="4">
        <v>8.5</v>
      </c>
      <c r="AA8" s="4" t="s">
        <v>39</v>
      </c>
      <c r="AB8" s="4" t="s">
        <v>40</v>
      </c>
      <c r="AC8" s="4"/>
      <c r="AD8" s="4"/>
      <c r="AF8" s="15" t="s">
        <v>30</v>
      </c>
      <c r="AG8" s="15" t="s">
        <v>32</v>
      </c>
      <c r="AH8">
        <f t="shared" ref="AH8:AH17" si="0">100-((H8-MIN($H$8:$H$17))/(MAX($H$8:$H$17)-MIN($H$8:$H$17))*100)</f>
        <v>66.666666666666671</v>
      </c>
      <c r="AI8">
        <f>Q8*10</f>
        <v>82</v>
      </c>
      <c r="AJ8" s="12">
        <f>MAX(0, 100-(M8*20))</f>
        <v>84</v>
      </c>
      <c r="AK8">
        <f>N8</f>
        <v>96</v>
      </c>
      <c r="AL8">
        <f t="shared" ref="AL8:AL72" si="1">MAX(0, 100-(K8*5))</f>
        <v>90</v>
      </c>
      <c r="AM8">
        <f>MAX(0, 100-(G8/5))</f>
        <v>87</v>
      </c>
      <c r="AN8">
        <f t="shared" ref="AN8:AN71" si="2">100-((I8-MIN($I$8:$I$267))/(MAX($I$8:$I$267)-MIN($I$8:$I$267))*100)</f>
        <v>99.900199800399605</v>
      </c>
      <c r="AO8">
        <f>Z8*10</f>
        <v>85</v>
      </c>
      <c r="AP8">
        <f>SUM(AH8*0.25, AI8*0.25, AJ8*0.15, AK8*0.15, AL8*0.1, AM8*0.05,AN8*0.03,AO8*0.02)</f>
        <v>82.213672660678654</v>
      </c>
      <c r="AQ8">
        <f>RANK(AP8, $AP$8:$AP$17, 0)</f>
        <v>2</v>
      </c>
      <c r="AR8" t="str">
        <f>D8</f>
        <v>OAT-001</v>
      </c>
      <c r="AS8" s="15" t="s">
        <v>30</v>
      </c>
      <c r="AT8" s="15" t="s">
        <v>32</v>
      </c>
      <c r="AU8">
        <f>100-((H8-MIN($H$8:$H$17))/(MAX($H$8:$H$17)-MIN($H$8:$H$17))*100)</f>
        <v>66.666666666666671</v>
      </c>
      <c r="AV8">
        <f>MAX(0, 100-(K8*5))</f>
        <v>90</v>
      </c>
      <c r="AW8">
        <f>N8</f>
        <v>96</v>
      </c>
      <c r="AX8">
        <f>Q8*10</f>
        <v>82</v>
      </c>
      <c r="AY8">
        <f t="shared" ref="AY8:AY71" si="3">100-((I8-MIN($I$8:$I$267))/(MAX($I$8:$I$267)-MIN($I$8:$I$267))*100)</f>
        <v>99.900199800399605</v>
      </c>
      <c r="AZ8">
        <f>MAX(0, 100-(G8/5))</f>
        <v>87</v>
      </c>
      <c r="BA8">
        <f>SUM(AU8*0.3,AV8*0.25,AW8*0.2,AX8*0.15,AY8*0.05,AZ8*0.05)</f>
        <v>83.345009990019975</v>
      </c>
      <c r="BB8">
        <f>RANK(BA8, $BA$8:$BA$17, 0)</f>
        <v>2</v>
      </c>
      <c r="BC8" t="str">
        <f>D8</f>
        <v>OAT-001</v>
      </c>
    </row>
    <row r="9" spans="2:55" ht="39.6" x14ac:dyDescent="0.3">
      <c r="B9" s="5" t="s">
        <v>29</v>
      </c>
      <c r="C9" s="15" t="s">
        <v>30</v>
      </c>
      <c r="D9" s="5" t="s">
        <v>41</v>
      </c>
      <c r="E9" s="5" t="s">
        <v>42</v>
      </c>
      <c r="F9" s="5" t="s">
        <v>43</v>
      </c>
      <c r="G9" s="5">
        <v>250</v>
      </c>
      <c r="H9" s="5">
        <v>72.5</v>
      </c>
      <c r="I9" s="5">
        <v>1000</v>
      </c>
      <c r="J9" s="5">
        <v>72500</v>
      </c>
      <c r="K9" s="5">
        <v>3</v>
      </c>
      <c r="L9" s="5">
        <v>2</v>
      </c>
      <c r="M9" s="5">
        <v>0.5</v>
      </c>
      <c r="N9" s="5">
        <v>97.5</v>
      </c>
      <c r="O9" s="5">
        <v>45</v>
      </c>
      <c r="P9" s="5" t="s">
        <v>44</v>
      </c>
      <c r="Q9" s="5">
        <v>8.8000000000000007</v>
      </c>
      <c r="R9" s="5">
        <v>9.3000000000000007</v>
      </c>
      <c r="S9" s="5" t="s">
        <v>45</v>
      </c>
      <c r="T9" s="5">
        <v>8</v>
      </c>
      <c r="U9" s="5" t="s">
        <v>36</v>
      </c>
      <c r="V9" s="5" t="s">
        <v>46</v>
      </c>
      <c r="W9" s="5">
        <v>2</v>
      </c>
      <c r="X9" s="5" t="s">
        <v>38</v>
      </c>
      <c r="Y9" s="5">
        <v>20</v>
      </c>
      <c r="Z9" s="5">
        <v>9</v>
      </c>
      <c r="AA9" s="5" t="s">
        <v>39</v>
      </c>
      <c r="AB9" s="5" t="s">
        <v>47</v>
      </c>
      <c r="AC9" s="5"/>
      <c r="AD9" s="5"/>
      <c r="AF9" s="15" t="s">
        <v>30</v>
      </c>
      <c r="AG9" s="15" t="s">
        <v>42</v>
      </c>
      <c r="AH9">
        <f t="shared" si="0"/>
        <v>75</v>
      </c>
      <c r="AI9">
        <f t="shared" ref="AI9:AI72" si="4">Q9*10</f>
        <v>88</v>
      </c>
      <c r="AJ9" s="12">
        <f t="shared" ref="AJ9:AJ72" si="5">MAX(0, 100-(M9*20))</f>
        <v>90</v>
      </c>
      <c r="AK9">
        <f t="shared" ref="AK9:AK72" si="6">N9</f>
        <v>97.5</v>
      </c>
      <c r="AL9">
        <f t="shared" si="1"/>
        <v>85</v>
      </c>
      <c r="AM9">
        <f t="shared" ref="AM9:AM72" si="7">MAX(0, 100-(G9/5))</f>
        <v>50</v>
      </c>
      <c r="AN9">
        <f t="shared" si="2"/>
        <v>99.800199600399196</v>
      </c>
      <c r="AO9">
        <f t="shared" ref="AO9:AO72" si="8">Z9*10</f>
        <v>90</v>
      </c>
      <c r="AP9">
        <f t="shared" ref="AP9:AP72" si="9">SUM(AH9*0.25, AI9*0.25, AJ9*0.15, AK9*0.15, AL9*0.1, AM9*0.05,AN9*0.03,AO9*0.02)</f>
        <v>84.669005988011975</v>
      </c>
      <c r="AQ9">
        <f t="shared" ref="AQ9:AQ17" si="10">RANK(AP9, $AP$8:$AP$17, 0)</f>
        <v>1</v>
      </c>
      <c r="AR9" t="str">
        <f t="shared" ref="AR9:AR72" si="11">D9</f>
        <v>OAT-002</v>
      </c>
      <c r="AS9" s="15" t="s">
        <v>30</v>
      </c>
      <c r="AT9" s="15" t="s">
        <v>42</v>
      </c>
      <c r="AU9">
        <f t="shared" ref="AU9:AU17" si="12">100-((H9-MIN($H$8:$H$17))/(MAX($H$8:$H$17)-MIN($H$8:$H$17))*100)</f>
        <v>75</v>
      </c>
      <c r="AV9">
        <f t="shared" ref="AV9:AV72" si="13">MAX(0, 100-(K9*5))</f>
        <v>85</v>
      </c>
      <c r="AW9">
        <f t="shared" ref="AW9:AW72" si="14">N9</f>
        <v>97.5</v>
      </c>
      <c r="AX9">
        <f t="shared" ref="AX9:AX72" si="15">Q9*10</f>
        <v>88</v>
      </c>
      <c r="AY9">
        <f t="shared" si="3"/>
        <v>99.800199600399196</v>
      </c>
      <c r="AZ9">
        <f t="shared" ref="AZ9:AZ72" si="16">MAX(0, 100-(G9/5))</f>
        <v>50</v>
      </c>
      <c r="BA9">
        <f t="shared" ref="BA9:BA72" si="17">SUM(AU9*0.3,AV9*0.25,AW9*0.2,AX9*0.15,AY9*0.05,AZ9*0.05)</f>
        <v>83.940009980019965</v>
      </c>
      <c r="BB9">
        <f t="shared" ref="BB9:BB17" si="18">RANK(BA9, $BA$8:$BA$17, 0)</f>
        <v>1</v>
      </c>
      <c r="BC9" t="str">
        <f t="shared" ref="BC9:BC72" si="19">D9</f>
        <v>OAT-002</v>
      </c>
    </row>
    <row r="10" spans="2:55" ht="39.6" x14ac:dyDescent="0.3">
      <c r="B10" s="5" t="s">
        <v>29</v>
      </c>
      <c r="C10" s="15" t="s">
        <v>30</v>
      </c>
      <c r="D10" s="5" t="s">
        <v>48</v>
      </c>
      <c r="E10" s="5" t="s">
        <v>49</v>
      </c>
      <c r="F10" s="5" t="s">
        <v>50</v>
      </c>
      <c r="G10" s="5">
        <v>150</v>
      </c>
      <c r="H10" s="5">
        <v>70</v>
      </c>
      <c r="I10" s="5">
        <v>2000</v>
      </c>
      <c r="J10" s="5">
        <v>140000</v>
      </c>
      <c r="K10" s="5">
        <v>7</v>
      </c>
      <c r="L10" s="5">
        <v>4</v>
      </c>
      <c r="M10" s="5">
        <v>0.9</v>
      </c>
      <c r="N10" s="5">
        <v>94</v>
      </c>
      <c r="O10" s="5">
        <v>60</v>
      </c>
      <c r="P10" s="5" t="s">
        <v>51</v>
      </c>
      <c r="Q10" s="5">
        <v>7.9</v>
      </c>
      <c r="R10" s="5">
        <v>8.5</v>
      </c>
      <c r="S10" s="5" t="s">
        <v>52</v>
      </c>
      <c r="T10" s="5">
        <v>6.5</v>
      </c>
      <c r="U10" s="5" t="s">
        <v>53</v>
      </c>
      <c r="V10" s="5" t="s">
        <v>54</v>
      </c>
      <c r="W10" s="5">
        <v>1</v>
      </c>
      <c r="X10" s="5" t="s">
        <v>38</v>
      </c>
      <c r="Y10" s="5">
        <v>30</v>
      </c>
      <c r="Z10" s="5">
        <v>7.5</v>
      </c>
      <c r="AA10" s="5" t="s">
        <v>55</v>
      </c>
      <c r="AB10" s="5" t="s">
        <v>56</v>
      </c>
      <c r="AC10" s="5"/>
      <c r="AD10" s="5"/>
      <c r="AF10" s="15" t="s">
        <v>30</v>
      </c>
      <c r="AG10" s="15" t="s">
        <v>49</v>
      </c>
      <c r="AH10">
        <f t="shared" si="0"/>
        <v>83.333333333333343</v>
      </c>
      <c r="AI10">
        <f t="shared" si="4"/>
        <v>79</v>
      </c>
      <c r="AJ10" s="12">
        <f t="shared" si="5"/>
        <v>82</v>
      </c>
      <c r="AK10">
        <f t="shared" si="6"/>
        <v>94</v>
      </c>
      <c r="AL10">
        <f t="shared" si="1"/>
        <v>65</v>
      </c>
      <c r="AM10">
        <f t="shared" si="7"/>
        <v>70</v>
      </c>
      <c r="AN10">
        <f t="shared" si="2"/>
        <v>99.600199200398407</v>
      </c>
      <c r="AO10">
        <f t="shared" si="8"/>
        <v>75</v>
      </c>
      <c r="AP10">
        <f t="shared" si="9"/>
        <v>81.471339309345282</v>
      </c>
      <c r="AQ10">
        <f t="shared" si="10"/>
        <v>3</v>
      </c>
      <c r="AR10" t="str">
        <f t="shared" si="11"/>
        <v>OAT-003</v>
      </c>
      <c r="AS10" s="15" t="s">
        <v>30</v>
      </c>
      <c r="AT10" s="15" t="s">
        <v>49</v>
      </c>
      <c r="AU10">
        <f t="shared" si="12"/>
        <v>83.333333333333343</v>
      </c>
      <c r="AV10">
        <f t="shared" si="13"/>
        <v>65</v>
      </c>
      <c r="AW10">
        <f t="shared" si="14"/>
        <v>94</v>
      </c>
      <c r="AX10">
        <f t="shared" si="15"/>
        <v>79</v>
      </c>
      <c r="AY10">
        <f t="shared" si="3"/>
        <v>99.600199200398407</v>
      </c>
      <c r="AZ10">
        <f t="shared" si="16"/>
        <v>70</v>
      </c>
      <c r="BA10">
        <f t="shared" si="17"/>
        <v>80.380009960019919</v>
      </c>
      <c r="BB10">
        <f t="shared" si="18"/>
        <v>4</v>
      </c>
      <c r="BC10" t="str">
        <f t="shared" si="19"/>
        <v>OAT-003</v>
      </c>
    </row>
    <row r="11" spans="2:55" ht="39.6" x14ac:dyDescent="0.3">
      <c r="B11" s="5" t="s">
        <v>29</v>
      </c>
      <c r="C11" s="15" t="s">
        <v>30</v>
      </c>
      <c r="D11" s="5" t="s">
        <v>57</v>
      </c>
      <c r="E11" s="5" t="s">
        <v>58</v>
      </c>
      <c r="F11" s="5" t="s">
        <v>59</v>
      </c>
      <c r="G11" s="5">
        <v>200</v>
      </c>
      <c r="H11" s="5">
        <v>85</v>
      </c>
      <c r="I11" s="5">
        <v>250</v>
      </c>
      <c r="J11" s="5">
        <v>21250</v>
      </c>
      <c r="K11" s="5">
        <v>4</v>
      </c>
      <c r="L11" s="5">
        <v>2</v>
      </c>
      <c r="M11" s="5">
        <v>0.3</v>
      </c>
      <c r="N11" s="5">
        <v>95</v>
      </c>
      <c r="O11" s="5">
        <v>30</v>
      </c>
      <c r="P11" s="5" t="s">
        <v>60</v>
      </c>
      <c r="Q11" s="5">
        <v>9.1999999999999993</v>
      </c>
      <c r="R11" s="5">
        <v>8.8000000000000007</v>
      </c>
      <c r="S11" s="5" t="s">
        <v>61</v>
      </c>
      <c r="T11" s="5">
        <v>9.5</v>
      </c>
      <c r="U11" s="5" t="s">
        <v>53</v>
      </c>
      <c r="V11" s="5" t="s">
        <v>54</v>
      </c>
      <c r="W11" s="5">
        <v>2</v>
      </c>
      <c r="X11" s="5" t="s">
        <v>38</v>
      </c>
      <c r="Y11" s="5">
        <v>10</v>
      </c>
      <c r="Z11" s="5">
        <v>8.8000000000000007</v>
      </c>
      <c r="AA11" s="5" t="s">
        <v>62</v>
      </c>
      <c r="AB11" s="5" t="s">
        <v>39</v>
      </c>
      <c r="AC11" s="5"/>
      <c r="AD11" s="5"/>
      <c r="AF11" s="15" t="s">
        <v>30</v>
      </c>
      <c r="AG11" s="15" t="s">
        <v>58</v>
      </c>
      <c r="AH11">
        <f t="shared" si="0"/>
        <v>33.333333333333343</v>
      </c>
      <c r="AI11">
        <f t="shared" si="4"/>
        <v>92</v>
      </c>
      <c r="AJ11" s="12">
        <f t="shared" si="5"/>
        <v>94</v>
      </c>
      <c r="AK11">
        <f t="shared" si="6"/>
        <v>95</v>
      </c>
      <c r="AL11">
        <f t="shared" si="1"/>
        <v>80</v>
      </c>
      <c r="AM11">
        <f t="shared" si="7"/>
        <v>60</v>
      </c>
      <c r="AN11">
        <f t="shared" si="2"/>
        <v>99.950199900399795</v>
      </c>
      <c r="AO11">
        <f t="shared" si="8"/>
        <v>88</v>
      </c>
      <c r="AP11">
        <f t="shared" si="9"/>
        <v>75.441839330345331</v>
      </c>
      <c r="AQ11">
        <f t="shared" si="10"/>
        <v>8</v>
      </c>
      <c r="AR11" t="str">
        <f t="shared" si="11"/>
        <v>OAT-004</v>
      </c>
      <c r="AS11" s="15" t="s">
        <v>30</v>
      </c>
      <c r="AT11" s="15" t="s">
        <v>58</v>
      </c>
      <c r="AU11">
        <f t="shared" si="12"/>
        <v>33.333333333333343</v>
      </c>
      <c r="AV11">
        <f t="shared" si="13"/>
        <v>80</v>
      </c>
      <c r="AW11">
        <f t="shared" si="14"/>
        <v>95</v>
      </c>
      <c r="AX11">
        <f t="shared" si="15"/>
        <v>92</v>
      </c>
      <c r="AY11">
        <f t="shared" si="3"/>
        <v>99.950199900399795</v>
      </c>
      <c r="AZ11">
        <f t="shared" si="16"/>
        <v>60</v>
      </c>
      <c r="BA11">
        <f t="shared" si="17"/>
        <v>70.797509995019993</v>
      </c>
      <c r="BB11">
        <f t="shared" si="18"/>
        <v>8</v>
      </c>
      <c r="BC11" t="str">
        <f t="shared" si="19"/>
        <v>OAT-004</v>
      </c>
    </row>
    <row r="12" spans="2:55" ht="52.8" x14ac:dyDescent="0.3">
      <c r="B12" s="5" t="s">
        <v>29</v>
      </c>
      <c r="C12" s="15" t="s">
        <v>30</v>
      </c>
      <c r="D12" s="5" t="s">
        <v>63</v>
      </c>
      <c r="E12" s="5" t="s">
        <v>64</v>
      </c>
      <c r="F12" s="5" t="s">
        <v>65</v>
      </c>
      <c r="G12" s="5">
        <v>850</v>
      </c>
      <c r="H12" s="5">
        <v>68</v>
      </c>
      <c r="I12" s="5">
        <v>3000</v>
      </c>
      <c r="J12" s="5">
        <v>204000</v>
      </c>
      <c r="K12" s="5">
        <v>10</v>
      </c>
      <c r="L12" s="5">
        <v>5</v>
      </c>
      <c r="M12" s="5">
        <v>1.2</v>
      </c>
      <c r="N12" s="5">
        <v>92</v>
      </c>
      <c r="O12" s="5">
        <v>60</v>
      </c>
      <c r="P12" s="5" t="s">
        <v>66</v>
      </c>
      <c r="Q12" s="5">
        <v>7.5</v>
      </c>
      <c r="R12" s="5">
        <v>8</v>
      </c>
      <c r="S12" s="5" t="s">
        <v>67</v>
      </c>
      <c r="T12" s="5">
        <v>7</v>
      </c>
      <c r="U12" s="5" t="s">
        <v>53</v>
      </c>
      <c r="V12" s="5" t="s">
        <v>37</v>
      </c>
      <c r="W12" s="5">
        <v>3</v>
      </c>
      <c r="X12" s="5" t="s">
        <v>68</v>
      </c>
      <c r="Y12" s="5">
        <v>25</v>
      </c>
      <c r="Z12" s="5">
        <v>7</v>
      </c>
      <c r="AA12" s="5" t="s">
        <v>69</v>
      </c>
      <c r="AB12" s="5" t="s">
        <v>56</v>
      </c>
      <c r="AC12" s="5"/>
      <c r="AD12" s="5"/>
      <c r="AF12" s="15" t="s">
        <v>30</v>
      </c>
      <c r="AG12" s="15" t="s">
        <v>64</v>
      </c>
      <c r="AH12">
        <f t="shared" si="0"/>
        <v>90</v>
      </c>
      <c r="AI12">
        <f t="shared" si="4"/>
        <v>75</v>
      </c>
      <c r="AJ12" s="12">
        <f t="shared" si="5"/>
        <v>76</v>
      </c>
      <c r="AK12">
        <f t="shared" si="6"/>
        <v>92</v>
      </c>
      <c r="AL12">
        <f t="shared" si="1"/>
        <v>50</v>
      </c>
      <c r="AM12">
        <f t="shared" si="7"/>
        <v>0</v>
      </c>
      <c r="AN12">
        <f t="shared" si="2"/>
        <v>99.400198800397604</v>
      </c>
      <c r="AO12">
        <f t="shared" si="8"/>
        <v>70</v>
      </c>
      <c r="AP12">
        <f t="shared" si="9"/>
        <v>75.832005964011941</v>
      </c>
      <c r="AQ12">
        <f t="shared" si="10"/>
        <v>7</v>
      </c>
      <c r="AR12" t="str">
        <f t="shared" si="11"/>
        <v>OAT-005</v>
      </c>
      <c r="AS12" s="15" t="s">
        <v>30</v>
      </c>
      <c r="AT12" s="15" t="s">
        <v>64</v>
      </c>
      <c r="AU12">
        <f t="shared" si="12"/>
        <v>90</v>
      </c>
      <c r="AV12">
        <f t="shared" si="13"/>
        <v>50</v>
      </c>
      <c r="AW12">
        <f t="shared" si="14"/>
        <v>92</v>
      </c>
      <c r="AX12">
        <f t="shared" si="15"/>
        <v>75</v>
      </c>
      <c r="AY12">
        <f t="shared" si="3"/>
        <v>99.400198800397604</v>
      </c>
      <c r="AZ12">
        <f t="shared" si="16"/>
        <v>0</v>
      </c>
      <c r="BA12">
        <f t="shared" si="17"/>
        <v>74.120009940019884</v>
      </c>
      <c r="BB12">
        <f t="shared" si="18"/>
        <v>7</v>
      </c>
      <c r="BC12" t="str">
        <f t="shared" si="19"/>
        <v>OAT-005</v>
      </c>
    </row>
    <row r="13" spans="2:55" ht="39.6" x14ac:dyDescent="0.3">
      <c r="B13" s="5" t="s">
        <v>29</v>
      </c>
      <c r="C13" s="15" t="s">
        <v>30</v>
      </c>
      <c r="D13" s="5" t="s">
        <v>70</v>
      </c>
      <c r="E13" s="5" t="s">
        <v>71</v>
      </c>
      <c r="F13" s="5" t="s">
        <v>72</v>
      </c>
      <c r="G13" s="5">
        <v>10</v>
      </c>
      <c r="H13" s="5">
        <v>78</v>
      </c>
      <c r="I13" s="5">
        <v>200</v>
      </c>
      <c r="J13" s="5">
        <v>15600</v>
      </c>
      <c r="K13" s="5">
        <v>1</v>
      </c>
      <c r="L13" s="5">
        <v>0.5</v>
      </c>
      <c r="M13" s="5">
        <v>1</v>
      </c>
      <c r="N13" s="5">
        <v>98</v>
      </c>
      <c r="O13" s="5">
        <v>15</v>
      </c>
      <c r="P13" s="5" t="s">
        <v>73</v>
      </c>
      <c r="Q13" s="5">
        <v>8</v>
      </c>
      <c r="R13" s="5">
        <v>9.5</v>
      </c>
      <c r="S13" s="5" t="s">
        <v>74</v>
      </c>
      <c r="T13" s="5">
        <v>8.1999999999999993</v>
      </c>
      <c r="U13" s="5" t="s">
        <v>36</v>
      </c>
      <c r="V13" s="5" t="s">
        <v>46</v>
      </c>
      <c r="W13" s="5">
        <v>1</v>
      </c>
      <c r="X13" s="5" t="s">
        <v>38</v>
      </c>
      <c r="Y13" s="5">
        <v>5</v>
      </c>
      <c r="Z13" s="5">
        <v>9.1999999999999993</v>
      </c>
      <c r="AA13" s="5" t="s">
        <v>75</v>
      </c>
      <c r="AB13" s="5" t="s">
        <v>40</v>
      </c>
      <c r="AC13" s="5"/>
      <c r="AD13" s="5"/>
      <c r="AF13" s="15" t="s">
        <v>30</v>
      </c>
      <c r="AG13" s="15" t="s">
        <v>71</v>
      </c>
      <c r="AH13">
        <f t="shared" si="0"/>
        <v>56.666666666666664</v>
      </c>
      <c r="AI13">
        <f t="shared" si="4"/>
        <v>80</v>
      </c>
      <c r="AJ13" s="12">
        <f t="shared" si="5"/>
        <v>80</v>
      </c>
      <c r="AK13">
        <f t="shared" si="6"/>
        <v>98</v>
      </c>
      <c r="AL13">
        <f t="shared" si="1"/>
        <v>95</v>
      </c>
      <c r="AM13">
        <f t="shared" si="7"/>
        <v>98</v>
      </c>
      <c r="AN13">
        <f t="shared" si="2"/>
        <v>99.960199920399845</v>
      </c>
      <c r="AO13">
        <f t="shared" si="8"/>
        <v>92</v>
      </c>
      <c r="AP13">
        <f t="shared" si="9"/>
        <v>80.105472664278665</v>
      </c>
      <c r="AQ13">
        <f t="shared" si="10"/>
        <v>4</v>
      </c>
      <c r="AR13" t="str">
        <f t="shared" si="11"/>
        <v>OAT-006</v>
      </c>
      <c r="AS13" s="15" t="s">
        <v>30</v>
      </c>
      <c r="AT13" s="15" t="s">
        <v>71</v>
      </c>
      <c r="AU13">
        <f t="shared" si="12"/>
        <v>56.666666666666664</v>
      </c>
      <c r="AV13">
        <f t="shared" si="13"/>
        <v>95</v>
      </c>
      <c r="AW13">
        <f t="shared" si="14"/>
        <v>98</v>
      </c>
      <c r="AX13">
        <f t="shared" si="15"/>
        <v>80</v>
      </c>
      <c r="AY13">
        <f t="shared" si="3"/>
        <v>99.960199920399845</v>
      </c>
      <c r="AZ13">
        <f t="shared" si="16"/>
        <v>98</v>
      </c>
      <c r="BA13">
        <f t="shared" si="17"/>
        <v>82.248009996019988</v>
      </c>
      <c r="BB13">
        <f t="shared" si="18"/>
        <v>3</v>
      </c>
      <c r="BC13" t="str">
        <f t="shared" si="19"/>
        <v>OAT-006</v>
      </c>
    </row>
    <row r="14" spans="2:55" ht="39.6" x14ac:dyDescent="0.3">
      <c r="B14" s="5" t="s">
        <v>29</v>
      </c>
      <c r="C14" s="15" t="s">
        <v>30</v>
      </c>
      <c r="D14" s="5" t="s">
        <v>76</v>
      </c>
      <c r="E14" s="5" t="s">
        <v>77</v>
      </c>
      <c r="F14" s="5" t="s">
        <v>78</v>
      </c>
      <c r="G14" s="5">
        <v>1400</v>
      </c>
      <c r="H14" s="5">
        <v>65</v>
      </c>
      <c r="I14" s="5">
        <v>5000</v>
      </c>
      <c r="J14" s="5">
        <v>325000</v>
      </c>
      <c r="K14" s="5">
        <v>14</v>
      </c>
      <c r="L14" s="5">
        <v>7</v>
      </c>
      <c r="M14" s="5">
        <v>1.5</v>
      </c>
      <c r="N14" s="5">
        <v>90</v>
      </c>
      <c r="O14" s="5">
        <v>90</v>
      </c>
      <c r="P14" s="5" t="s">
        <v>79</v>
      </c>
      <c r="Q14" s="5">
        <v>6.8</v>
      </c>
      <c r="R14" s="5">
        <v>7.5</v>
      </c>
      <c r="S14" s="5" t="s">
        <v>80</v>
      </c>
      <c r="T14" s="5">
        <v>5.5</v>
      </c>
      <c r="U14" s="5" t="s">
        <v>81</v>
      </c>
      <c r="V14" s="5" t="s">
        <v>54</v>
      </c>
      <c r="W14" s="5">
        <v>3</v>
      </c>
      <c r="X14" s="5" t="s">
        <v>68</v>
      </c>
      <c r="Y14" s="5">
        <v>40</v>
      </c>
      <c r="Z14" s="5">
        <v>6.5</v>
      </c>
      <c r="AA14" s="5" t="s">
        <v>69</v>
      </c>
      <c r="AB14" s="5" t="s">
        <v>56</v>
      </c>
      <c r="AC14" s="5"/>
      <c r="AD14" s="5"/>
      <c r="AF14" s="15" t="s">
        <v>30</v>
      </c>
      <c r="AG14" s="15" t="s">
        <v>77</v>
      </c>
      <c r="AH14">
        <f t="shared" si="0"/>
        <v>100</v>
      </c>
      <c r="AI14">
        <f t="shared" si="4"/>
        <v>68</v>
      </c>
      <c r="AJ14" s="12">
        <f t="shared" si="5"/>
        <v>70</v>
      </c>
      <c r="AK14">
        <f t="shared" si="6"/>
        <v>90</v>
      </c>
      <c r="AL14">
        <f t="shared" si="1"/>
        <v>30</v>
      </c>
      <c r="AM14">
        <f t="shared" si="7"/>
        <v>0</v>
      </c>
      <c r="AN14">
        <f t="shared" si="2"/>
        <v>99.000198000395997</v>
      </c>
      <c r="AO14">
        <f t="shared" si="8"/>
        <v>65</v>
      </c>
      <c r="AP14">
        <f t="shared" si="9"/>
        <v>73.27000594001187</v>
      </c>
      <c r="AQ14">
        <f t="shared" si="10"/>
        <v>9</v>
      </c>
      <c r="AR14" t="str">
        <f t="shared" si="11"/>
        <v>OAT-007</v>
      </c>
      <c r="AS14" s="15" t="s">
        <v>30</v>
      </c>
      <c r="AT14" s="15" t="s">
        <v>77</v>
      </c>
      <c r="AU14">
        <f t="shared" si="12"/>
        <v>100</v>
      </c>
      <c r="AV14">
        <f t="shared" si="13"/>
        <v>30</v>
      </c>
      <c r="AW14">
        <f t="shared" si="14"/>
        <v>90</v>
      </c>
      <c r="AX14">
        <f t="shared" si="15"/>
        <v>68</v>
      </c>
      <c r="AY14">
        <f t="shared" si="3"/>
        <v>99.000198000395997</v>
      </c>
      <c r="AZ14">
        <f t="shared" si="16"/>
        <v>0</v>
      </c>
      <c r="BA14">
        <f t="shared" si="17"/>
        <v>70.650009900019796</v>
      </c>
      <c r="BB14">
        <f t="shared" si="18"/>
        <v>9</v>
      </c>
      <c r="BC14" t="str">
        <f t="shared" si="19"/>
        <v>OAT-007</v>
      </c>
    </row>
    <row r="15" spans="2:55" ht="39.6" x14ac:dyDescent="0.3">
      <c r="B15" s="5" t="s">
        <v>29</v>
      </c>
      <c r="C15" s="15" t="s">
        <v>30</v>
      </c>
      <c r="D15" s="5" t="s">
        <v>82</v>
      </c>
      <c r="E15" s="5" t="s">
        <v>83</v>
      </c>
      <c r="F15" s="5" t="s">
        <v>84</v>
      </c>
      <c r="G15" s="5">
        <v>150</v>
      </c>
      <c r="H15" s="5">
        <v>82</v>
      </c>
      <c r="I15" s="5">
        <v>400</v>
      </c>
      <c r="J15" s="5">
        <v>32800</v>
      </c>
      <c r="K15" s="5">
        <v>3</v>
      </c>
      <c r="L15" s="5">
        <v>1</v>
      </c>
      <c r="M15" s="5">
        <v>0.6</v>
      </c>
      <c r="N15" s="5">
        <v>96</v>
      </c>
      <c r="O15" s="5">
        <v>30</v>
      </c>
      <c r="P15" s="5" t="s">
        <v>85</v>
      </c>
      <c r="Q15" s="5">
        <v>8.5</v>
      </c>
      <c r="R15" s="5">
        <v>8.8000000000000007</v>
      </c>
      <c r="S15" s="5" t="s">
        <v>45</v>
      </c>
      <c r="T15" s="5">
        <v>8.5</v>
      </c>
      <c r="U15" s="5" t="s">
        <v>36</v>
      </c>
      <c r="V15" s="5" t="s">
        <v>37</v>
      </c>
      <c r="W15" s="5">
        <v>2</v>
      </c>
      <c r="X15" s="5" t="s">
        <v>38</v>
      </c>
      <c r="Y15" s="5">
        <v>12</v>
      </c>
      <c r="Z15" s="5">
        <v>8.6999999999999993</v>
      </c>
      <c r="AA15" s="5" t="s">
        <v>39</v>
      </c>
      <c r="AB15" s="5" t="s">
        <v>40</v>
      </c>
      <c r="AC15" s="5"/>
      <c r="AD15" s="5"/>
      <c r="AF15" s="15" t="s">
        <v>30</v>
      </c>
      <c r="AG15" s="15" t="s">
        <v>83</v>
      </c>
      <c r="AH15">
        <f t="shared" si="0"/>
        <v>43.333333333333336</v>
      </c>
      <c r="AI15">
        <f t="shared" si="4"/>
        <v>85</v>
      </c>
      <c r="AJ15" s="12">
        <f t="shared" si="5"/>
        <v>88</v>
      </c>
      <c r="AK15">
        <f t="shared" si="6"/>
        <v>96</v>
      </c>
      <c r="AL15">
        <f t="shared" si="1"/>
        <v>85</v>
      </c>
      <c r="AM15">
        <f t="shared" si="7"/>
        <v>70</v>
      </c>
      <c r="AN15">
        <f t="shared" si="2"/>
        <v>99.920199840399675</v>
      </c>
      <c r="AO15">
        <f t="shared" si="8"/>
        <v>87</v>
      </c>
      <c r="AP15">
        <f t="shared" si="9"/>
        <v>76.420939328545316</v>
      </c>
      <c r="AQ15">
        <f t="shared" si="10"/>
        <v>6</v>
      </c>
      <c r="AR15" t="str">
        <f t="shared" si="11"/>
        <v>OAT-008</v>
      </c>
      <c r="AS15" s="15" t="s">
        <v>30</v>
      </c>
      <c r="AT15" s="15" t="s">
        <v>83</v>
      </c>
      <c r="AU15">
        <f t="shared" si="12"/>
        <v>43.333333333333336</v>
      </c>
      <c r="AV15">
        <f t="shared" si="13"/>
        <v>85</v>
      </c>
      <c r="AW15">
        <f t="shared" si="14"/>
        <v>96</v>
      </c>
      <c r="AX15">
        <f t="shared" si="15"/>
        <v>85</v>
      </c>
      <c r="AY15">
        <f t="shared" si="3"/>
        <v>99.920199840399675</v>
      </c>
      <c r="AZ15">
        <f t="shared" si="16"/>
        <v>70</v>
      </c>
      <c r="BA15">
        <f t="shared" si="17"/>
        <v>74.696009992019981</v>
      </c>
      <c r="BB15">
        <f t="shared" si="18"/>
        <v>5</v>
      </c>
      <c r="BC15" t="str">
        <f t="shared" si="19"/>
        <v>OAT-008</v>
      </c>
    </row>
    <row r="16" spans="2:55" ht="39.6" x14ac:dyDescent="0.3">
      <c r="B16" s="5" t="s">
        <v>29</v>
      </c>
      <c r="C16" s="15" t="s">
        <v>30</v>
      </c>
      <c r="D16" s="5" t="s">
        <v>86</v>
      </c>
      <c r="E16" s="5" t="s">
        <v>87</v>
      </c>
      <c r="F16" s="5" t="s">
        <v>72</v>
      </c>
      <c r="G16" s="5">
        <v>15</v>
      </c>
      <c r="H16" s="5">
        <v>95</v>
      </c>
      <c r="I16" s="5">
        <v>100</v>
      </c>
      <c r="J16" s="5">
        <v>9500</v>
      </c>
      <c r="K16" s="5">
        <v>2</v>
      </c>
      <c r="L16" s="5">
        <v>1</v>
      </c>
      <c r="M16" s="5">
        <v>0.4</v>
      </c>
      <c r="N16" s="5">
        <v>97</v>
      </c>
      <c r="O16" s="5">
        <v>30</v>
      </c>
      <c r="P16" s="5" t="s">
        <v>88</v>
      </c>
      <c r="Q16" s="5">
        <v>9</v>
      </c>
      <c r="R16" s="5">
        <v>9.1999999999999993</v>
      </c>
      <c r="S16" s="5" t="s">
        <v>89</v>
      </c>
      <c r="T16" s="5">
        <v>9</v>
      </c>
      <c r="U16" s="5" t="s">
        <v>53</v>
      </c>
      <c r="V16" s="5" t="s">
        <v>54</v>
      </c>
      <c r="W16" s="5">
        <v>1</v>
      </c>
      <c r="X16" s="5" t="s">
        <v>38</v>
      </c>
      <c r="Y16" s="5">
        <v>8</v>
      </c>
      <c r="Z16" s="5">
        <v>8</v>
      </c>
      <c r="AA16" s="5" t="s">
        <v>90</v>
      </c>
      <c r="AB16" s="5" t="s">
        <v>62</v>
      </c>
      <c r="AC16" s="5"/>
      <c r="AD16" s="5"/>
      <c r="AF16" s="15" t="s">
        <v>30</v>
      </c>
      <c r="AG16" s="15" t="s">
        <v>87</v>
      </c>
      <c r="AH16">
        <f t="shared" si="0"/>
        <v>0</v>
      </c>
      <c r="AI16">
        <f t="shared" si="4"/>
        <v>90</v>
      </c>
      <c r="AJ16" s="12">
        <f t="shared" si="5"/>
        <v>92</v>
      </c>
      <c r="AK16">
        <f t="shared" si="6"/>
        <v>97</v>
      </c>
      <c r="AL16">
        <f t="shared" si="1"/>
        <v>90</v>
      </c>
      <c r="AM16">
        <f t="shared" si="7"/>
        <v>97</v>
      </c>
      <c r="AN16">
        <f t="shared" si="2"/>
        <v>99.980199960399915</v>
      </c>
      <c r="AO16">
        <f t="shared" si="8"/>
        <v>80</v>
      </c>
      <c r="AP16">
        <f t="shared" si="9"/>
        <v>69.299405998811977</v>
      </c>
      <c r="AQ16">
        <f t="shared" si="10"/>
        <v>10</v>
      </c>
      <c r="AR16" t="str">
        <f t="shared" si="11"/>
        <v>OAT-009</v>
      </c>
      <c r="AS16" s="15" t="s">
        <v>30</v>
      </c>
      <c r="AT16" s="15" t="s">
        <v>87</v>
      </c>
      <c r="AU16">
        <f t="shared" si="12"/>
        <v>0</v>
      </c>
      <c r="AV16">
        <f t="shared" si="13"/>
        <v>90</v>
      </c>
      <c r="AW16">
        <f t="shared" si="14"/>
        <v>97</v>
      </c>
      <c r="AX16">
        <f t="shared" si="15"/>
        <v>90</v>
      </c>
      <c r="AY16">
        <f t="shared" si="3"/>
        <v>99.980199960399915</v>
      </c>
      <c r="AZ16">
        <f t="shared" si="16"/>
        <v>97</v>
      </c>
      <c r="BA16">
        <f t="shared" si="17"/>
        <v>65.24900999802</v>
      </c>
      <c r="BB16">
        <f t="shared" si="18"/>
        <v>10</v>
      </c>
      <c r="BC16" t="str">
        <f t="shared" si="19"/>
        <v>OAT-009</v>
      </c>
    </row>
    <row r="17" spans="2:55" ht="39.6" x14ac:dyDescent="0.3">
      <c r="B17" s="5" t="s">
        <v>29</v>
      </c>
      <c r="C17" s="15" t="s">
        <v>30</v>
      </c>
      <c r="D17" s="5" t="s">
        <v>91</v>
      </c>
      <c r="E17" s="5" t="s">
        <v>92</v>
      </c>
      <c r="F17" s="5" t="s">
        <v>93</v>
      </c>
      <c r="G17" s="5">
        <v>1200</v>
      </c>
      <c r="H17" s="5">
        <v>71</v>
      </c>
      <c r="I17" s="5">
        <v>1500</v>
      </c>
      <c r="J17" s="5">
        <v>106500</v>
      </c>
      <c r="K17" s="5">
        <v>8</v>
      </c>
      <c r="L17" s="5">
        <v>4</v>
      </c>
      <c r="M17" s="5">
        <v>0.7</v>
      </c>
      <c r="N17" s="5">
        <v>93</v>
      </c>
      <c r="O17" s="5">
        <v>45</v>
      </c>
      <c r="P17" s="5" t="s">
        <v>94</v>
      </c>
      <c r="Q17" s="5">
        <v>8</v>
      </c>
      <c r="R17" s="5">
        <v>8.3000000000000007</v>
      </c>
      <c r="S17" s="5" t="s">
        <v>74</v>
      </c>
      <c r="T17" s="5">
        <v>7.8</v>
      </c>
      <c r="U17" s="5" t="s">
        <v>53</v>
      </c>
      <c r="V17" s="5" t="s">
        <v>37</v>
      </c>
      <c r="W17" s="5">
        <v>2</v>
      </c>
      <c r="X17" s="5" t="s">
        <v>68</v>
      </c>
      <c r="Y17" s="5">
        <v>20</v>
      </c>
      <c r="Z17" s="5">
        <v>7.8</v>
      </c>
      <c r="AA17" s="5" t="s">
        <v>39</v>
      </c>
      <c r="AB17" s="5" t="s">
        <v>47</v>
      </c>
      <c r="AC17" s="5"/>
      <c r="AD17" s="5"/>
      <c r="AF17" s="15" t="s">
        <v>30</v>
      </c>
      <c r="AG17" s="15" t="s">
        <v>92</v>
      </c>
      <c r="AH17">
        <f t="shared" si="0"/>
        <v>80</v>
      </c>
      <c r="AI17">
        <f t="shared" si="4"/>
        <v>80</v>
      </c>
      <c r="AJ17" s="12">
        <f t="shared" si="5"/>
        <v>86</v>
      </c>
      <c r="AK17">
        <f t="shared" si="6"/>
        <v>93</v>
      </c>
      <c r="AL17">
        <f t="shared" si="1"/>
        <v>60</v>
      </c>
      <c r="AM17">
        <f t="shared" si="7"/>
        <v>0</v>
      </c>
      <c r="AN17">
        <f t="shared" si="2"/>
        <v>99.700199400398802</v>
      </c>
      <c r="AO17">
        <f t="shared" si="8"/>
        <v>78</v>
      </c>
      <c r="AP17">
        <f t="shared" si="9"/>
        <v>77.401005982011966</v>
      </c>
      <c r="AQ17">
        <f t="shared" si="10"/>
        <v>5</v>
      </c>
      <c r="AR17" t="str">
        <f t="shared" si="11"/>
        <v>OAT-010</v>
      </c>
      <c r="AS17" s="15" t="s">
        <v>30</v>
      </c>
      <c r="AT17" s="15" t="s">
        <v>92</v>
      </c>
      <c r="AU17">
        <f t="shared" si="12"/>
        <v>80</v>
      </c>
      <c r="AV17">
        <f t="shared" si="13"/>
        <v>60</v>
      </c>
      <c r="AW17">
        <f t="shared" si="14"/>
        <v>93</v>
      </c>
      <c r="AX17">
        <f t="shared" si="15"/>
        <v>80</v>
      </c>
      <c r="AY17">
        <f t="shared" si="3"/>
        <v>99.700199400398802</v>
      </c>
      <c r="AZ17">
        <f t="shared" si="16"/>
        <v>0</v>
      </c>
      <c r="BA17">
        <f t="shared" si="17"/>
        <v>74.585009970019939</v>
      </c>
      <c r="BB17">
        <f t="shared" si="18"/>
        <v>6</v>
      </c>
      <c r="BC17" t="str">
        <f t="shared" si="19"/>
        <v>OAT-010</v>
      </c>
    </row>
    <row r="18" spans="2:55" ht="39.6" x14ac:dyDescent="0.3">
      <c r="B18" s="5" t="s">
        <v>29</v>
      </c>
      <c r="C18" s="15" t="s">
        <v>95</v>
      </c>
      <c r="D18" s="5" t="s">
        <v>96</v>
      </c>
      <c r="E18" s="5" t="s">
        <v>97</v>
      </c>
      <c r="F18" s="5" t="s">
        <v>72</v>
      </c>
      <c r="G18" s="5">
        <v>10</v>
      </c>
      <c r="H18" s="5">
        <v>85</v>
      </c>
      <c r="I18" s="5">
        <v>200</v>
      </c>
      <c r="J18" s="5">
        <v>17000</v>
      </c>
      <c r="K18" s="5">
        <v>3</v>
      </c>
      <c r="L18" s="5">
        <v>1</v>
      </c>
      <c r="M18" s="5">
        <v>1</v>
      </c>
      <c r="N18" s="5">
        <v>96</v>
      </c>
      <c r="O18" s="5">
        <v>30</v>
      </c>
      <c r="P18" s="5" t="s">
        <v>60</v>
      </c>
      <c r="Q18" s="5">
        <v>8</v>
      </c>
      <c r="R18" s="5">
        <v>9.1999999999999993</v>
      </c>
      <c r="S18" s="5" t="s">
        <v>67</v>
      </c>
      <c r="T18" s="5">
        <v>7.8</v>
      </c>
      <c r="U18" s="5" t="s">
        <v>53</v>
      </c>
      <c r="V18" s="5" t="s">
        <v>54</v>
      </c>
      <c r="W18" s="5">
        <v>1</v>
      </c>
      <c r="X18" s="5" t="s">
        <v>38</v>
      </c>
      <c r="Y18" s="5">
        <v>10</v>
      </c>
      <c r="Z18" s="5">
        <v>8.5</v>
      </c>
      <c r="AA18" s="5" t="s">
        <v>98</v>
      </c>
      <c r="AB18" s="5"/>
      <c r="AC18" s="5"/>
      <c r="AD18" s="5"/>
      <c r="AF18" s="15" t="s">
        <v>95</v>
      </c>
      <c r="AG18" s="15" t="s">
        <v>97</v>
      </c>
      <c r="AH18">
        <f t="shared" ref="AH18:AH27" si="20">100-((H18-MIN($H$18:$H$27))/(MAX($H$18:$H$27)-MIN($H$18:$H$27))*100)</f>
        <v>58.82352941176471</v>
      </c>
      <c r="AI18">
        <f t="shared" si="4"/>
        <v>80</v>
      </c>
      <c r="AJ18" s="12">
        <f t="shared" si="5"/>
        <v>80</v>
      </c>
      <c r="AK18">
        <f t="shared" si="6"/>
        <v>96</v>
      </c>
      <c r="AL18">
        <f t="shared" si="1"/>
        <v>85</v>
      </c>
      <c r="AM18">
        <f t="shared" si="7"/>
        <v>98</v>
      </c>
      <c r="AN18">
        <f t="shared" si="2"/>
        <v>99.960199920399845</v>
      </c>
      <c r="AO18">
        <f t="shared" si="8"/>
        <v>85</v>
      </c>
      <c r="AP18">
        <f t="shared" si="9"/>
        <v>79.20468835055317</v>
      </c>
      <c r="AQ18">
        <f>RANK(AP18, $AP$18:$AP$27, 0)</f>
        <v>4</v>
      </c>
      <c r="AR18" t="str">
        <f t="shared" si="11"/>
        <v>FLAKE-001</v>
      </c>
      <c r="AS18" s="15" t="s">
        <v>95</v>
      </c>
      <c r="AT18" s="15" t="s">
        <v>97</v>
      </c>
      <c r="AU18">
        <f t="shared" ref="AU18:AU27" si="21">100-((H18-MIN($H$18:$H$27))/(MAX($H$18:$H$27)-MIN($H$18:$H$27))*100)</f>
        <v>58.82352941176471</v>
      </c>
      <c r="AV18">
        <f t="shared" si="13"/>
        <v>85</v>
      </c>
      <c r="AW18">
        <f t="shared" si="14"/>
        <v>96</v>
      </c>
      <c r="AX18">
        <f t="shared" si="15"/>
        <v>80</v>
      </c>
      <c r="AY18">
        <f t="shared" si="3"/>
        <v>99.960199920399845</v>
      </c>
      <c r="AZ18">
        <f t="shared" si="16"/>
        <v>98</v>
      </c>
      <c r="BA18">
        <f t="shared" si="17"/>
        <v>79.995068819549402</v>
      </c>
      <c r="BB18">
        <f>RANK(BA18, $BA$18:$BA$27, 0)</f>
        <v>4</v>
      </c>
      <c r="BC18" t="str">
        <f t="shared" si="19"/>
        <v>FLAKE-001</v>
      </c>
    </row>
    <row r="19" spans="2:55" ht="39.6" x14ac:dyDescent="0.3">
      <c r="B19" s="5" t="s">
        <v>29</v>
      </c>
      <c r="C19" s="15" t="s">
        <v>95</v>
      </c>
      <c r="D19" s="5" t="s">
        <v>99</v>
      </c>
      <c r="E19" s="5" t="s">
        <v>100</v>
      </c>
      <c r="F19" s="5" t="s">
        <v>33</v>
      </c>
      <c r="G19" s="5">
        <v>65</v>
      </c>
      <c r="H19" s="5">
        <v>82</v>
      </c>
      <c r="I19" s="5">
        <v>500</v>
      </c>
      <c r="J19" s="5">
        <v>41000</v>
      </c>
      <c r="K19" s="5">
        <v>4</v>
      </c>
      <c r="L19" s="5">
        <v>2</v>
      </c>
      <c r="M19" s="5">
        <v>0.8</v>
      </c>
      <c r="N19" s="5">
        <v>95</v>
      </c>
      <c r="O19" s="5">
        <v>45</v>
      </c>
      <c r="P19" s="5" t="s">
        <v>34</v>
      </c>
      <c r="Q19" s="5">
        <v>8.5</v>
      </c>
      <c r="R19" s="5">
        <v>9</v>
      </c>
      <c r="S19" s="5" t="s">
        <v>74</v>
      </c>
      <c r="T19" s="5">
        <v>8.5</v>
      </c>
      <c r="U19" s="5" t="s">
        <v>36</v>
      </c>
      <c r="V19" s="5" t="s">
        <v>46</v>
      </c>
      <c r="W19" s="5">
        <v>2</v>
      </c>
      <c r="X19" s="5" t="s">
        <v>38</v>
      </c>
      <c r="Y19" s="5">
        <v>15</v>
      </c>
      <c r="Z19" s="5">
        <v>9</v>
      </c>
      <c r="AA19" s="5" t="s">
        <v>101</v>
      </c>
      <c r="AB19" s="5"/>
      <c r="AC19" s="5"/>
      <c r="AD19" s="5"/>
      <c r="AF19" s="15" t="s">
        <v>95</v>
      </c>
      <c r="AG19" s="15" t="s">
        <v>100</v>
      </c>
      <c r="AH19">
        <f t="shared" si="20"/>
        <v>76.470588235294116</v>
      </c>
      <c r="AI19">
        <f t="shared" si="4"/>
        <v>85</v>
      </c>
      <c r="AJ19" s="12">
        <f t="shared" si="5"/>
        <v>84</v>
      </c>
      <c r="AK19">
        <f t="shared" si="6"/>
        <v>95</v>
      </c>
      <c r="AL19">
        <f t="shared" si="1"/>
        <v>80</v>
      </c>
      <c r="AM19">
        <f t="shared" si="7"/>
        <v>87</v>
      </c>
      <c r="AN19">
        <f t="shared" si="2"/>
        <v>99.900199800399605</v>
      </c>
      <c r="AO19">
        <f t="shared" si="8"/>
        <v>90</v>
      </c>
      <c r="AP19">
        <f t="shared" si="9"/>
        <v>84.364653052835507</v>
      </c>
      <c r="AQ19">
        <f t="shared" ref="AQ19:AQ27" si="22">RANK(AP19, $AP$18:$AP$27, 0)</f>
        <v>3</v>
      </c>
      <c r="AR19" t="str">
        <f t="shared" si="11"/>
        <v>FLAKE-002</v>
      </c>
      <c r="AS19" s="15" t="s">
        <v>95</v>
      </c>
      <c r="AT19" s="15" t="s">
        <v>100</v>
      </c>
      <c r="AU19">
        <f t="shared" si="21"/>
        <v>76.470588235294116</v>
      </c>
      <c r="AV19">
        <f t="shared" si="13"/>
        <v>80</v>
      </c>
      <c r="AW19">
        <f t="shared" si="14"/>
        <v>95</v>
      </c>
      <c r="AX19">
        <f t="shared" si="15"/>
        <v>85</v>
      </c>
      <c r="AY19">
        <f t="shared" si="3"/>
        <v>99.900199800399605</v>
      </c>
      <c r="AZ19">
        <f t="shared" si="16"/>
        <v>87</v>
      </c>
      <c r="BA19">
        <f t="shared" si="17"/>
        <v>84.036186460608207</v>
      </c>
      <c r="BB19">
        <f t="shared" ref="BB19:BB27" si="23">RANK(BA19, $BA$18:$BA$27, 0)</f>
        <v>3</v>
      </c>
      <c r="BC19" t="str">
        <f t="shared" si="19"/>
        <v>FLAKE-002</v>
      </c>
    </row>
    <row r="20" spans="2:55" ht="39.6" x14ac:dyDescent="0.3">
      <c r="B20" s="5" t="s">
        <v>29</v>
      </c>
      <c r="C20" s="15" t="s">
        <v>95</v>
      </c>
      <c r="D20" s="5" t="s">
        <v>102</v>
      </c>
      <c r="E20" s="5" t="s">
        <v>103</v>
      </c>
      <c r="F20" s="5" t="s">
        <v>50</v>
      </c>
      <c r="G20" s="5">
        <v>150</v>
      </c>
      <c r="H20" s="5">
        <v>78</v>
      </c>
      <c r="I20" s="5">
        <v>1000</v>
      </c>
      <c r="J20" s="5">
        <v>78000</v>
      </c>
      <c r="K20" s="5">
        <v>7</v>
      </c>
      <c r="L20" s="5">
        <v>3</v>
      </c>
      <c r="M20" s="5">
        <v>1.2</v>
      </c>
      <c r="N20" s="5">
        <v>93</v>
      </c>
      <c r="O20" s="5">
        <v>60</v>
      </c>
      <c r="P20" s="5" t="s">
        <v>94</v>
      </c>
      <c r="Q20" s="5">
        <v>7.8</v>
      </c>
      <c r="R20" s="5">
        <v>8.5</v>
      </c>
      <c r="S20" s="5" t="s">
        <v>52</v>
      </c>
      <c r="T20" s="5">
        <v>6.5</v>
      </c>
      <c r="U20" s="5" t="s">
        <v>53</v>
      </c>
      <c r="V20" s="5" t="s">
        <v>37</v>
      </c>
      <c r="W20" s="5">
        <v>3</v>
      </c>
      <c r="X20" s="5" t="s">
        <v>38</v>
      </c>
      <c r="Y20" s="5">
        <v>25</v>
      </c>
      <c r="Z20" s="5">
        <v>7.8</v>
      </c>
      <c r="AA20" s="5" t="s">
        <v>104</v>
      </c>
      <c r="AB20" s="5"/>
      <c r="AC20" s="5"/>
      <c r="AD20" s="5"/>
      <c r="AF20" s="15" t="s">
        <v>95</v>
      </c>
      <c r="AG20" s="15" t="s">
        <v>103</v>
      </c>
      <c r="AH20">
        <f t="shared" si="20"/>
        <v>100</v>
      </c>
      <c r="AI20">
        <f t="shared" si="4"/>
        <v>78</v>
      </c>
      <c r="AJ20" s="12">
        <f t="shared" si="5"/>
        <v>76</v>
      </c>
      <c r="AK20">
        <f t="shared" si="6"/>
        <v>93</v>
      </c>
      <c r="AL20">
        <f t="shared" si="1"/>
        <v>65</v>
      </c>
      <c r="AM20">
        <f t="shared" si="7"/>
        <v>70</v>
      </c>
      <c r="AN20">
        <f t="shared" si="2"/>
        <v>99.800199600399196</v>
      </c>
      <c r="AO20">
        <f t="shared" si="8"/>
        <v>78</v>
      </c>
      <c r="AP20">
        <f t="shared" si="9"/>
        <v>84.404005988011974</v>
      </c>
      <c r="AQ20">
        <f t="shared" si="22"/>
        <v>2</v>
      </c>
      <c r="AR20" t="str">
        <f t="shared" si="11"/>
        <v>FLAKE-003</v>
      </c>
      <c r="AS20" s="15" t="s">
        <v>95</v>
      </c>
      <c r="AT20" s="15" t="s">
        <v>103</v>
      </c>
      <c r="AU20">
        <f t="shared" si="21"/>
        <v>100</v>
      </c>
      <c r="AV20">
        <f t="shared" si="13"/>
        <v>65</v>
      </c>
      <c r="AW20">
        <f t="shared" si="14"/>
        <v>93</v>
      </c>
      <c r="AX20">
        <f t="shared" si="15"/>
        <v>78</v>
      </c>
      <c r="AY20">
        <f t="shared" si="3"/>
        <v>99.800199600399196</v>
      </c>
      <c r="AZ20">
        <f t="shared" si="16"/>
        <v>70</v>
      </c>
      <c r="BA20">
        <f t="shared" si="17"/>
        <v>85.04000998001996</v>
      </c>
      <c r="BB20">
        <f t="shared" si="23"/>
        <v>2</v>
      </c>
      <c r="BC20" t="str">
        <f t="shared" si="19"/>
        <v>FLAKE-003</v>
      </c>
    </row>
    <row r="21" spans="2:55" ht="39.6" x14ac:dyDescent="0.3">
      <c r="B21" s="5" t="s">
        <v>29</v>
      </c>
      <c r="C21" s="15" t="s">
        <v>95</v>
      </c>
      <c r="D21" s="5" t="s">
        <v>105</v>
      </c>
      <c r="E21" s="5" t="s">
        <v>106</v>
      </c>
      <c r="F21" s="5" t="s">
        <v>59</v>
      </c>
      <c r="G21" s="5">
        <v>200</v>
      </c>
      <c r="H21" s="5">
        <v>95</v>
      </c>
      <c r="I21" s="5">
        <v>100</v>
      </c>
      <c r="J21" s="5">
        <v>9500</v>
      </c>
      <c r="K21" s="5">
        <v>5</v>
      </c>
      <c r="L21" s="5">
        <v>2</v>
      </c>
      <c r="M21" s="5">
        <v>0.5</v>
      </c>
      <c r="N21" s="5">
        <v>97</v>
      </c>
      <c r="O21" s="5">
        <v>30</v>
      </c>
      <c r="P21" s="5" t="s">
        <v>107</v>
      </c>
      <c r="Q21" s="5">
        <v>9</v>
      </c>
      <c r="R21" s="5">
        <v>8.8000000000000007</v>
      </c>
      <c r="S21" s="5" t="s">
        <v>108</v>
      </c>
      <c r="T21" s="5">
        <v>9.5</v>
      </c>
      <c r="U21" s="5" t="s">
        <v>53</v>
      </c>
      <c r="V21" s="5" t="s">
        <v>54</v>
      </c>
      <c r="W21" s="5">
        <v>2</v>
      </c>
      <c r="X21" s="5" t="s">
        <v>38</v>
      </c>
      <c r="Y21" s="5">
        <v>8</v>
      </c>
      <c r="Z21" s="5">
        <v>8.8000000000000007</v>
      </c>
      <c r="AA21" s="5" t="s">
        <v>109</v>
      </c>
      <c r="AB21" s="5" t="s">
        <v>62</v>
      </c>
      <c r="AC21" s="5"/>
      <c r="AD21" s="5"/>
      <c r="AF21" s="15" t="s">
        <v>95</v>
      </c>
      <c r="AG21" s="15" t="s">
        <v>106</v>
      </c>
      <c r="AH21">
        <f t="shared" si="20"/>
        <v>0</v>
      </c>
      <c r="AI21">
        <f t="shared" si="4"/>
        <v>90</v>
      </c>
      <c r="AJ21" s="12">
        <f t="shared" si="5"/>
        <v>90</v>
      </c>
      <c r="AK21">
        <f t="shared" si="6"/>
        <v>97</v>
      </c>
      <c r="AL21">
        <f t="shared" si="1"/>
        <v>75</v>
      </c>
      <c r="AM21">
        <f t="shared" si="7"/>
        <v>60</v>
      </c>
      <c r="AN21">
        <f t="shared" si="2"/>
        <v>99.980199960399915</v>
      </c>
      <c r="AO21">
        <f t="shared" si="8"/>
        <v>88</v>
      </c>
      <c r="AP21">
        <f t="shared" si="9"/>
        <v>65.809405998811997</v>
      </c>
      <c r="AQ21">
        <f t="shared" si="22"/>
        <v>10</v>
      </c>
      <c r="AR21" t="str">
        <f t="shared" si="11"/>
        <v>FLAKE-004</v>
      </c>
      <c r="AS21" s="15" t="s">
        <v>95</v>
      </c>
      <c r="AT21" s="15" t="s">
        <v>106</v>
      </c>
      <c r="AU21">
        <f t="shared" si="21"/>
        <v>0</v>
      </c>
      <c r="AV21">
        <f t="shared" si="13"/>
        <v>75</v>
      </c>
      <c r="AW21">
        <f t="shared" si="14"/>
        <v>97</v>
      </c>
      <c r="AX21">
        <f t="shared" si="15"/>
        <v>90</v>
      </c>
      <c r="AY21">
        <f t="shared" si="3"/>
        <v>99.980199960399915</v>
      </c>
      <c r="AZ21">
        <f t="shared" si="16"/>
        <v>60</v>
      </c>
      <c r="BA21">
        <f t="shared" si="17"/>
        <v>59.649009998020006</v>
      </c>
      <c r="BB21">
        <f t="shared" si="23"/>
        <v>10</v>
      </c>
      <c r="BC21" t="str">
        <f t="shared" si="19"/>
        <v>FLAKE-004</v>
      </c>
    </row>
    <row r="22" spans="2:55" ht="39.6" x14ac:dyDescent="0.3">
      <c r="B22" s="5" t="s">
        <v>29</v>
      </c>
      <c r="C22" s="15" t="s">
        <v>95</v>
      </c>
      <c r="D22" s="5" t="s">
        <v>110</v>
      </c>
      <c r="E22" s="5" t="s">
        <v>111</v>
      </c>
      <c r="F22" s="5" t="s">
        <v>84</v>
      </c>
      <c r="G22" s="5">
        <v>150</v>
      </c>
      <c r="H22" s="5">
        <v>88</v>
      </c>
      <c r="I22" s="5">
        <v>300</v>
      </c>
      <c r="J22" s="5">
        <v>26400</v>
      </c>
      <c r="K22" s="5">
        <v>2</v>
      </c>
      <c r="L22" s="5">
        <v>1</v>
      </c>
      <c r="M22" s="5">
        <v>0.7</v>
      </c>
      <c r="N22" s="5">
        <v>98</v>
      </c>
      <c r="O22" s="5">
        <v>30</v>
      </c>
      <c r="P22" s="5" t="s">
        <v>73</v>
      </c>
      <c r="Q22" s="5">
        <v>8.8000000000000007</v>
      </c>
      <c r="R22" s="5">
        <v>9.4</v>
      </c>
      <c r="S22" s="5" t="s">
        <v>45</v>
      </c>
      <c r="T22" s="5">
        <v>8.8000000000000007</v>
      </c>
      <c r="U22" s="5" t="s">
        <v>36</v>
      </c>
      <c r="V22" s="5" t="s">
        <v>46</v>
      </c>
      <c r="W22" s="5">
        <v>1</v>
      </c>
      <c r="X22" s="5" t="s">
        <v>38</v>
      </c>
      <c r="Y22" s="5">
        <v>7</v>
      </c>
      <c r="Z22" s="5">
        <v>9.1999999999999993</v>
      </c>
      <c r="AA22" s="5" t="s">
        <v>112</v>
      </c>
      <c r="AB22" s="5"/>
      <c r="AC22" s="5"/>
      <c r="AD22" s="5"/>
      <c r="AF22" s="15" t="s">
        <v>95</v>
      </c>
      <c r="AG22" s="15" t="s">
        <v>111</v>
      </c>
      <c r="AH22">
        <f t="shared" si="20"/>
        <v>41.17647058823529</v>
      </c>
      <c r="AI22">
        <f t="shared" si="4"/>
        <v>88</v>
      </c>
      <c r="AJ22" s="12">
        <f t="shared" si="5"/>
        <v>86</v>
      </c>
      <c r="AK22">
        <f t="shared" si="6"/>
        <v>98</v>
      </c>
      <c r="AL22">
        <f t="shared" si="1"/>
        <v>90</v>
      </c>
      <c r="AM22">
        <f t="shared" si="7"/>
        <v>70</v>
      </c>
      <c r="AN22">
        <f t="shared" si="2"/>
        <v>99.94019988039976</v>
      </c>
      <c r="AO22">
        <f t="shared" si="8"/>
        <v>92</v>
      </c>
      <c r="AP22">
        <f t="shared" si="9"/>
        <v>77.232323643470821</v>
      </c>
      <c r="AQ22">
        <f t="shared" si="22"/>
        <v>6</v>
      </c>
      <c r="AR22" t="str">
        <f t="shared" si="11"/>
        <v>FLAKE-005</v>
      </c>
      <c r="AS22" s="15" t="s">
        <v>95</v>
      </c>
      <c r="AT22" s="15" t="s">
        <v>111</v>
      </c>
      <c r="AU22">
        <f t="shared" si="21"/>
        <v>41.17647058823529</v>
      </c>
      <c r="AV22">
        <f t="shared" si="13"/>
        <v>90</v>
      </c>
      <c r="AW22">
        <f t="shared" si="14"/>
        <v>98</v>
      </c>
      <c r="AX22">
        <f t="shared" si="15"/>
        <v>88</v>
      </c>
      <c r="AY22">
        <f t="shared" si="3"/>
        <v>99.94019988039976</v>
      </c>
      <c r="AZ22">
        <f t="shared" si="16"/>
        <v>70</v>
      </c>
      <c r="BA22">
        <f t="shared" si="17"/>
        <v>76.149951170490581</v>
      </c>
      <c r="BB22">
        <f t="shared" si="23"/>
        <v>6</v>
      </c>
      <c r="BC22" t="str">
        <f t="shared" si="19"/>
        <v>FLAKE-005</v>
      </c>
    </row>
    <row r="23" spans="2:55" ht="39.6" x14ac:dyDescent="0.3">
      <c r="B23" s="5" t="s">
        <v>29</v>
      </c>
      <c r="C23" s="15" t="s">
        <v>95</v>
      </c>
      <c r="D23" s="5" t="s">
        <v>113</v>
      </c>
      <c r="E23" s="5" t="s">
        <v>114</v>
      </c>
      <c r="F23" s="5" t="s">
        <v>78</v>
      </c>
      <c r="G23" s="5">
        <v>1400</v>
      </c>
      <c r="H23" s="5">
        <v>80</v>
      </c>
      <c r="I23" s="5">
        <v>2000</v>
      </c>
      <c r="J23" s="5">
        <v>160000</v>
      </c>
      <c r="K23" s="5">
        <v>10</v>
      </c>
      <c r="L23" s="5">
        <v>5</v>
      </c>
      <c r="M23" s="5">
        <v>1.5</v>
      </c>
      <c r="N23" s="5">
        <v>90</v>
      </c>
      <c r="O23" s="5">
        <v>75</v>
      </c>
      <c r="P23" s="5" t="s">
        <v>51</v>
      </c>
      <c r="Q23" s="5">
        <v>7.2</v>
      </c>
      <c r="R23" s="5">
        <v>7.8</v>
      </c>
      <c r="S23" s="5" t="s">
        <v>80</v>
      </c>
      <c r="T23" s="5">
        <v>7</v>
      </c>
      <c r="U23" s="5" t="s">
        <v>81</v>
      </c>
      <c r="V23" s="5" t="s">
        <v>54</v>
      </c>
      <c r="W23" s="5">
        <v>3</v>
      </c>
      <c r="X23" s="5" t="s">
        <v>68</v>
      </c>
      <c r="Y23" s="5">
        <v>30</v>
      </c>
      <c r="Z23" s="5">
        <v>7</v>
      </c>
      <c r="AA23" s="5" t="s">
        <v>115</v>
      </c>
      <c r="AB23" s="5"/>
      <c r="AC23" s="5"/>
      <c r="AD23" s="5"/>
      <c r="AF23" s="15" t="s">
        <v>95</v>
      </c>
      <c r="AG23" s="15" t="s">
        <v>114</v>
      </c>
      <c r="AH23">
        <f t="shared" si="20"/>
        <v>88.235294117647058</v>
      </c>
      <c r="AI23">
        <f t="shared" si="4"/>
        <v>72</v>
      </c>
      <c r="AJ23" s="12">
        <f t="shared" si="5"/>
        <v>70</v>
      </c>
      <c r="AK23">
        <f t="shared" si="6"/>
        <v>90</v>
      </c>
      <c r="AL23">
        <f t="shared" si="1"/>
        <v>50</v>
      </c>
      <c r="AM23">
        <f t="shared" si="7"/>
        <v>0</v>
      </c>
      <c r="AN23">
        <f t="shared" si="2"/>
        <v>99.600199200398407</v>
      </c>
      <c r="AO23">
        <f t="shared" si="8"/>
        <v>70</v>
      </c>
      <c r="AP23">
        <f t="shared" si="9"/>
        <v>73.446829505423722</v>
      </c>
      <c r="AQ23">
        <f t="shared" si="22"/>
        <v>8</v>
      </c>
      <c r="AR23" t="str">
        <f t="shared" si="11"/>
        <v>FLAKE-006</v>
      </c>
      <c r="AS23" s="15" t="s">
        <v>95</v>
      </c>
      <c r="AT23" s="15" t="s">
        <v>114</v>
      </c>
      <c r="AU23">
        <f t="shared" si="21"/>
        <v>88.235294117647058</v>
      </c>
      <c r="AV23">
        <f t="shared" si="13"/>
        <v>50</v>
      </c>
      <c r="AW23">
        <f t="shared" si="14"/>
        <v>90</v>
      </c>
      <c r="AX23">
        <f t="shared" si="15"/>
        <v>72</v>
      </c>
      <c r="AY23">
        <f t="shared" si="3"/>
        <v>99.600199200398407</v>
      </c>
      <c r="AZ23">
        <f t="shared" si="16"/>
        <v>0</v>
      </c>
      <c r="BA23">
        <f t="shared" si="17"/>
        <v>72.750598195314041</v>
      </c>
      <c r="BB23">
        <f t="shared" si="23"/>
        <v>8</v>
      </c>
      <c r="BC23" t="str">
        <f t="shared" si="19"/>
        <v>FLAKE-006</v>
      </c>
    </row>
    <row r="24" spans="2:55" ht="39.6" x14ac:dyDescent="0.3">
      <c r="B24" s="5" t="s">
        <v>29</v>
      </c>
      <c r="C24" s="15" t="s">
        <v>95</v>
      </c>
      <c r="D24" s="5" t="s">
        <v>116</v>
      </c>
      <c r="E24" s="5" t="s">
        <v>117</v>
      </c>
      <c r="F24" s="5" t="s">
        <v>72</v>
      </c>
      <c r="G24" s="5">
        <v>15</v>
      </c>
      <c r="H24" s="5">
        <v>90</v>
      </c>
      <c r="I24" s="5">
        <v>150</v>
      </c>
      <c r="J24" s="5">
        <v>13500</v>
      </c>
      <c r="K24" s="5">
        <v>1</v>
      </c>
      <c r="L24" s="5">
        <v>0.5</v>
      </c>
      <c r="M24" s="5">
        <v>0.9</v>
      </c>
      <c r="N24" s="5">
        <v>99</v>
      </c>
      <c r="O24" s="5">
        <v>15</v>
      </c>
      <c r="P24" s="5" t="s">
        <v>118</v>
      </c>
      <c r="Q24" s="5">
        <v>8.1999999999999993</v>
      </c>
      <c r="R24" s="5">
        <v>9.6</v>
      </c>
      <c r="S24" s="5" t="s">
        <v>67</v>
      </c>
      <c r="T24" s="5">
        <v>8</v>
      </c>
      <c r="U24" s="5" t="s">
        <v>36</v>
      </c>
      <c r="V24" s="5" t="s">
        <v>37</v>
      </c>
      <c r="W24" s="5">
        <v>1</v>
      </c>
      <c r="X24" s="5" t="s">
        <v>38</v>
      </c>
      <c r="Y24" s="5">
        <v>5</v>
      </c>
      <c r="Z24" s="5">
        <v>9</v>
      </c>
      <c r="AA24" s="5" t="s">
        <v>109</v>
      </c>
      <c r="AB24" s="5"/>
      <c r="AC24" s="5"/>
      <c r="AD24" s="5"/>
      <c r="AF24" s="15" t="s">
        <v>95</v>
      </c>
      <c r="AG24" s="15" t="s">
        <v>117</v>
      </c>
      <c r="AH24">
        <f t="shared" si="20"/>
        <v>29.411764705882348</v>
      </c>
      <c r="AI24">
        <f t="shared" si="4"/>
        <v>82</v>
      </c>
      <c r="AJ24" s="12">
        <f t="shared" si="5"/>
        <v>82</v>
      </c>
      <c r="AK24">
        <f t="shared" si="6"/>
        <v>99</v>
      </c>
      <c r="AL24">
        <f t="shared" si="1"/>
        <v>95</v>
      </c>
      <c r="AM24">
        <f t="shared" si="7"/>
        <v>97</v>
      </c>
      <c r="AN24">
        <f t="shared" si="2"/>
        <v>99.97019994039988</v>
      </c>
      <c r="AO24">
        <f t="shared" si="8"/>
        <v>90</v>
      </c>
      <c r="AP24">
        <f t="shared" si="9"/>
        <v>74.152047174682579</v>
      </c>
      <c r="AQ24">
        <f t="shared" si="22"/>
        <v>7</v>
      </c>
      <c r="AR24" t="str">
        <f t="shared" si="11"/>
        <v>FLAKE-007</v>
      </c>
      <c r="AS24" s="15" t="s">
        <v>95</v>
      </c>
      <c r="AT24" s="15" t="s">
        <v>117</v>
      </c>
      <c r="AU24">
        <f t="shared" si="21"/>
        <v>29.411764705882348</v>
      </c>
      <c r="AV24">
        <f t="shared" si="13"/>
        <v>95</v>
      </c>
      <c r="AW24">
        <f t="shared" si="14"/>
        <v>99</v>
      </c>
      <c r="AX24">
        <f t="shared" si="15"/>
        <v>82</v>
      </c>
      <c r="AY24">
        <f t="shared" si="3"/>
        <v>99.97019994039988</v>
      </c>
      <c r="AZ24">
        <f t="shared" si="16"/>
        <v>97</v>
      </c>
      <c r="BA24">
        <f t="shared" si="17"/>
        <v>74.522039408784693</v>
      </c>
      <c r="BB24">
        <f t="shared" si="23"/>
        <v>7</v>
      </c>
      <c r="BC24" t="str">
        <f t="shared" si="19"/>
        <v>FLAKE-007</v>
      </c>
    </row>
    <row r="25" spans="2:55" ht="52.8" x14ac:dyDescent="0.3">
      <c r="B25" s="5" t="s">
        <v>29</v>
      </c>
      <c r="C25" s="15" t="s">
        <v>95</v>
      </c>
      <c r="D25" s="5" t="s">
        <v>119</v>
      </c>
      <c r="E25" s="5" t="s">
        <v>120</v>
      </c>
      <c r="F25" s="5" t="s">
        <v>33</v>
      </c>
      <c r="G25" s="5">
        <v>65</v>
      </c>
      <c r="H25" s="5">
        <v>92</v>
      </c>
      <c r="I25" s="5">
        <v>250</v>
      </c>
      <c r="J25" s="5">
        <v>23000</v>
      </c>
      <c r="K25" s="5">
        <v>3</v>
      </c>
      <c r="L25" s="5">
        <v>1</v>
      </c>
      <c r="M25" s="5">
        <v>0.6</v>
      </c>
      <c r="N25" s="5">
        <v>96</v>
      </c>
      <c r="O25" s="5">
        <v>30</v>
      </c>
      <c r="P25" s="5" t="s">
        <v>121</v>
      </c>
      <c r="Q25" s="5">
        <v>8.6999999999999993</v>
      </c>
      <c r="R25" s="5">
        <v>8.9</v>
      </c>
      <c r="S25" s="5" t="s">
        <v>122</v>
      </c>
      <c r="T25" s="5">
        <v>8.6999999999999993</v>
      </c>
      <c r="U25" s="5" t="s">
        <v>53</v>
      </c>
      <c r="V25" s="5" t="s">
        <v>54</v>
      </c>
      <c r="W25" s="5">
        <v>2</v>
      </c>
      <c r="X25" s="5" t="s">
        <v>38</v>
      </c>
      <c r="Y25" s="5">
        <v>12</v>
      </c>
      <c r="Z25" s="5">
        <v>8.5</v>
      </c>
      <c r="AA25" s="5" t="s">
        <v>98</v>
      </c>
      <c r="AB25" s="5" t="s">
        <v>123</v>
      </c>
      <c r="AC25" s="5"/>
      <c r="AD25" s="5"/>
      <c r="AF25" s="15" t="s">
        <v>95</v>
      </c>
      <c r="AG25" s="15" t="s">
        <v>120</v>
      </c>
      <c r="AH25">
        <f t="shared" si="20"/>
        <v>17.64705882352942</v>
      </c>
      <c r="AI25">
        <f t="shared" si="4"/>
        <v>87</v>
      </c>
      <c r="AJ25" s="12">
        <f t="shared" si="5"/>
        <v>88</v>
      </c>
      <c r="AK25">
        <f t="shared" si="6"/>
        <v>96</v>
      </c>
      <c r="AL25">
        <f t="shared" si="1"/>
        <v>85</v>
      </c>
      <c r="AM25">
        <f t="shared" si="7"/>
        <v>87</v>
      </c>
      <c r="AN25">
        <f t="shared" si="2"/>
        <v>99.950199900399795</v>
      </c>
      <c r="AO25">
        <f t="shared" si="8"/>
        <v>85</v>
      </c>
      <c r="AP25">
        <f t="shared" si="9"/>
        <v>71.310270702894343</v>
      </c>
      <c r="AQ25">
        <f t="shared" si="22"/>
        <v>9</v>
      </c>
      <c r="AR25" t="str">
        <f t="shared" si="11"/>
        <v>FLAKE-008</v>
      </c>
      <c r="AS25" s="15" t="s">
        <v>95</v>
      </c>
      <c r="AT25" s="15" t="s">
        <v>120</v>
      </c>
      <c r="AU25">
        <f t="shared" si="21"/>
        <v>17.64705882352942</v>
      </c>
      <c r="AV25">
        <f t="shared" si="13"/>
        <v>85</v>
      </c>
      <c r="AW25">
        <f t="shared" si="14"/>
        <v>96</v>
      </c>
      <c r="AX25">
        <f t="shared" si="15"/>
        <v>87</v>
      </c>
      <c r="AY25">
        <f t="shared" si="3"/>
        <v>99.950199900399795</v>
      </c>
      <c r="AZ25">
        <f t="shared" si="16"/>
        <v>87</v>
      </c>
      <c r="BA25">
        <f t="shared" si="17"/>
        <v>68.141627642078817</v>
      </c>
      <c r="BB25">
        <f t="shared" si="23"/>
        <v>9</v>
      </c>
      <c r="BC25" t="str">
        <f t="shared" si="19"/>
        <v>FLAKE-008</v>
      </c>
    </row>
    <row r="26" spans="2:55" ht="39.6" x14ac:dyDescent="0.3">
      <c r="B26" s="5" t="s">
        <v>29</v>
      </c>
      <c r="C26" s="15" t="s">
        <v>95</v>
      </c>
      <c r="D26" s="5" t="s">
        <v>124</v>
      </c>
      <c r="E26" s="5" t="s">
        <v>125</v>
      </c>
      <c r="F26" s="5" t="s">
        <v>50</v>
      </c>
      <c r="G26" s="5">
        <v>150</v>
      </c>
      <c r="H26" s="5">
        <v>83</v>
      </c>
      <c r="I26" s="5">
        <v>800</v>
      </c>
      <c r="J26" s="5">
        <v>66400</v>
      </c>
      <c r="K26" s="5">
        <v>5</v>
      </c>
      <c r="L26" s="5">
        <v>2</v>
      </c>
      <c r="M26" s="5">
        <v>1.1000000000000001</v>
      </c>
      <c r="N26" s="5">
        <v>94</v>
      </c>
      <c r="O26" s="5">
        <v>45</v>
      </c>
      <c r="P26" s="5" t="s">
        <v>44</v>
      </c>
      <c r="Q26" s="5">
        <v>8</v>
      </c>
      <c r="R26" s="5">
        <v>8.3000000000000007</v>
      </c>
      <c r="S26" s="5" t="s">
        <v>126</v>
      </c>
      <c r="T26" s="5">
        <v>8</v>
      </c>
      <c r="U26" s="5" t="s">
        <v>53</v>
      </c>
      <c r="V26" s="5" t="s">
        <v>37</v>
      </c>
      <c r="W26" s="5">
        <v>2</v>
      </c>
      <c r="X26" s="5" t="s">
        <v>38</v>
      </c>
      <c r="Y26" s="5">
        <v>18</v>
      </c>
      <c r="Z26" s="5">
        <v>8</v>
      </c>
      <c r="AA26" s="5" t="s">
        <v>127</v>
      </c>
      <c r="AB26" s="5"/>
      <c r="AC26" s="5"/>
      <c r="AD26" s="5"/>
      <c r="AF26" s="15" t="s">
        <v>95</v>
      </c>
      <c r="AG26" s="15" t="s">
        <v>125</v>
      </c>
      <c r="AH26">
        <f t="shared" si="20"/>
        <v>70.588235294117652</v>
      </c>
      <c r="AI26">
        <f t="shared" si="4"/>
        <v>80</v>
      </c>
      <c r="AJ26" s="12">
        <f t="shared" si="5"/>
        <v>78</v>
      </c>
      <c r="AK26">
        <f t="shared" si="6"/>
        <v>94</v>
      </c>
      <c r="AL26">
        <f t="shared" si="1"/>
        <v>75</v>
      </c>
      <c r="AM26">
        <f t="shared" si="7"/>
        <v>70</v>
      </c>
      <c r="AN26">
        <f t="shared" si="2"/>
        <v>99.840199680399365</v>
      </c>
      <c r="AO26">
        <f t="shared" si="8"/>
        <v>80</v>
      </c>
      <c r="AP26">
        <f t="shared" si="9"/>
        <v>79.042264813941372</v>
      </c>
      <c r="AQ26">
        <f t="shared" si="22"/>
        <v>5</v>
      </c>
      <c r="AR26" t="str">
        <f t="shared" si="11"/>
        <v>FLAKE-009</v>
      </c>
      <c r="AS26" s="15" t="s">
        <v>95</v>
      </c>
      <c r="AT26" s="15" t="s">
        <v>125</v>
      </c>
      <c r="AU26">
        <f t="shared" si="21"/>
        <v>70.588235294117652</v>
      </c>
      <c r="AV26">
        <f t="shared" si="13"/>
        <v>75</v>
      </c>
      <c r="AW26">
        <f t="shared" si="14"/>
        <v>94</v>
      </c>
      <c r="AX26">
        <f t="shared" si="15"/>
        <v>80</v>
      </c>
      <c r="AY26">
        <f t="shared" si="3"/>
        <v>99.840199680399365</v>
      </c>
      <c r="AZ26">
        <f t="shared" si="16"/>
        <v>70</v>
      </c>
      <c r="BA26">
        <f t="shared" si="17"/>
        <v>79.21848057225526</v>
      </c>
      <c r="BB26">
        <f t="shared" si="23"/>
        <v>5</v>
      </c>
      <c r="BC26" t="str">
        <f t="shared" si="19"/>
        <v>FLAKE-009</v>
      </c>
    </row>
    <row r="27" spans="2:55" ht="39.6" x14ac:dyDescent="0.3">
      <c r="B27" s="5" t="s">
        <v>29</v>
      </c>
      <c r="C27" s="15" t="s">
        <v>95</v>
      </c>
      <c r="D27" s="5" t="s">
        <v>128</v>
      </c>
      <c r="E27" s="5" t="s">
        <v>129</v>
      </c>
      <c r="F27" s="5" t="s">
        <v>43</v>
      </c>
      <c r="G27" s="5">
        <v>250</v>
      </c>
      <c r="H27" s="5">
        <v>79</v>
      </c>
      <c r="I27" s="5">
        <v>600</v>
      </c>
      <c r="J27" s="5">
        <v>47400</v>
      </c>
      <c r="K27" s="5">
        <v>4</v>
      </c>
      <c r="L27" s="5">
        <v>2</v>
      </c>
      <c r="M27" s="5">
        <v>0.8</v>
      </c>
      <c r="N27" s="5">
        <v>95</v>
      </c>
      <c r="O27" s="5">
        <v>40</v>
      </c>
      <c r="P27" s="5" t="s">
        <v>130</v>
      </c>
      <c r="Q27" s="5">
        <v>8.3000000000000007</v>
      </c>
      <c r="R27" s="5">
        <v>8.6999999999999993</v>
      </c>
      <c r="S27" s="5" t="s">
        <v>67</v>
      </c>
      <c r="T27" s="5">
        <v>7.5</v>
      </c>
      <c r="U27" s="5" t="s">
        <v>53</v>
      </c>
      <c r="V27" s="5" t="s">
        <v>54</v>
      </c>
      <c r="W27" s="5">
        <v>1</v>
      </c>
      <c r="X27" s="5" t="s">
        <v>38</v>
      </c>
      <c r="Y27" s="5">
        <v>14</v>
      </c>
      <c r="Z27" s="5">
        <v>8.1999999999999993</v>
      </c>
      <c r="AA27" s="5" t="s">
        <v>131</v>
      </c>
      <c r="AB27" s="5" t="s">
        <v>104</v>
      </c>
      <c r="AC27" s="5"/>
      <c r="AD27" s="5"/>
      <c r="AF27" s="15" t="s">
        <v>95</v>
      </c>
      <c r="AG27" s="15" t="s">
        <v>129</v>
      </c>
      <c r="AH27">
        <f t="shared" si="20"/>
        <v>94.117647058823536</v>
      </c>
      <c r="AI27">
        <f t="shared" si="4"/>
        <v>83</v>
      </c>
      <c r="AJ27" s="12">
        <f t="shared" si="5"/>
        <v>84</v>
      </c>
      <c r="AK27">
        <f t="shared" si="6"/>
        <v>95</v>
      </c>
      <c r="AL27">
        <f t="shared" si="1"/>
        <v>80</v>
      </c>
      <c r="AM27">
        <f t="shared" si="7"/>
        <v>50</v>
      </c>
      <c r="AN27">
        <f t="shared" si="2"/>
        <v>99.88019976039952</v>
      </c>
      <c r="AO27">
        <f t="shared" si="8"/>
        <v>82</v>
      </c>
      <c r="AP27">
        <f t="shared" si="9"/>
        <v>86.265817757517866</v>
      </c>
      <c r="AQ27">
        <f t="shared" si="22"/>
        <v>1</v>
      </c>
      <c r="AR27" t="str">
        <f t="shared" si="11"/>
        <v>FLAKE-010</v>
      </c>
      <c r="AS27" s="15" t="s">
        <v>95</v>
      </c>
      <c r="AT27" s="15" t="s">
        <v>129</v>
      </c>
      <c r="AU27">
        <f t="shared" si="21"/>
        <v>94.117647058823536</v>
      </c>
      <c r="AV27">
        <f t="shared" si="13"/>
        <v>80</v>
      </c>
      <c r="AW27">
        <f t="shared" si="14"/>
        <v>95</v>
      </c>
      <c r="AX27">
        <f t="shared" si="15"/>
        <v>83</v>
      </c>
      <c r="AY27">
        <f t="shared" si="3"/>
        <v>99.88019976039952</v>
      </c>
      <c r="AZ27">
        <f t="shared" si="16"/>
        <v>50</v>
      </c>
      <c r="BA27">
        <f t="shared" si="17"/>
        <v>87.179304105667043</v>
      </c>
      <c r="BB27">
        <f t="shared" si="23"/>
        <v>1</v>
      </c>
      <c r="BC27" t="str">
        <f t="shared" si="19"/>
        <v>FLAKE-010</v>
      </c>
    </row>
    <row r="28" spans="2:55" ht="39.6" x14ac:dyDescent="0.3">
      <c r="B28" s="5" t="s">
        <v>29</v>
      </c>
      <c r="C28" s="15" t="s">
        <v>1219</v>
      </c>
      <c r="D28" s="5" t="s">
        <v>132</v>
      </c>
      <c r="E28" s="5" t="s">
        <v>133</v>
      </c>
      <c r="F28" s="5" t="s">
        <v>72</v>
      </c>
      <c r="G28" s="5">
        <v>15</v>
      </c>
      <c r="H28" s="5">
        <v>420</v>
      </c>
      <c r="I28" s="5">
        <v>100</v>
      </c>
      <c r="J28" s="5">
        <v>42000</v>
      </c>
      <c r="K28" s="5">
        <v>1</v>
      </c>
      <c r="L28" s="5">
        <v>0.5</v>
      </c>
      <c r="M28" s="5">
        <v>1.2</v>
      </c>
      <c r="N28" s="5">
        <v>98</v>
      </c>
      <c r="O28" s="5">
        <v>15</v>
      </c>
      <c r="P28" s="5" t="s">
        <v>60</v>
      </c>
      <c r="Q28" s="5">
        <v>7.5</v>
      </c>
      <c r="R28" s="5">
        <v>9.6</v>
      </c>
      <c r="S28" s="5" t="s">
        <v>67</v>
      </c>
      <c r="T28" s="5">
        <v>7</v>
      </c>
      <c r="U28" s="5" t="s">
        <v>53</v>
      </c>
      <c r="V28" s="5" t="s">
        <v>54</v>
      </c>
      <c r="W28" s="5">
        <v>1</v>
      </c>
      <c r="X28" s="5" t="s">
        <v>38</v>
      </c>
      <c r="Y28" s="5">
        <v>10</v>
      </c>
      <c r="Z28" s="5">
        <v>8.5</v>
      </c>
      <c r="AA28" s="5" t="s">
        <v>134</v>
      </c>
      <c r="AB28" s="5" t="s">
        <v>135</v>
      </c>
      <c r="AC28" s="5" t="s">
        <v>136</v>
      </c>
      <c r="AD28" s="5"/>
      <c r="AF28" s="15" t="s">
        <v>1219</v>
      </c>
      <c r="AG28" s="15" t="s">
        <v>133</v>
      </c>
      <c r="AH28">
        <f t="shared" ref="AH28:AH39" si="24">100-((H28-MIN($H$28:$H$39))/(MAX($H$28:$H$39)-MIN($H$28:$H$39))*100)</f>
        <v>64.285714285714278</v>
      </c>
      <c r="AI28">
        <f t="shared" si="4"/>
        <v>75</v>
      </c>
      <c r="AJ28" s="12">
        <f t="shared" si="5"/>
        <v>76</v>
      </c>
      <c r="AK28">
        <f t="shared" si="6"/>
        <v>98</v>
      </c>
      <c r="AL28">
        <f t="shared" si="1"/>
        <v>95</v>
      </c>
      <c r="AM28">
        <f t="shared" si="7"/>
        <v>97</v>
      </c>
      <c r="AN28">
        <f t="shared" si="2"/>
        <v>99.980199960399915</v>
      </c>
      <c r="AO28">
        <f t="shared" si="8"/>
        <v>85</v>
      </c>
      <c r="AP28">
        <f t="shared" si="9"/>
        <v>79.970834570240555</v>
      </c>
      <c r="AQ28">
        <f>RANK(AP28, $AP$28:$AP$39, 0)</f>
        <v>3</v>
      </c>
      <c r="AR28" t="str">
        <f t="shared" si="11"/>
        <v>FRUIT-001</v>
      </c>
      <c r="AS28" s="15" t="s">
        <v>1219</v>
      </c>
      <c r="AT28" s="15" t="s">
        <v>133</v>
      </c>
      <c r="AU28">
        <f t="shared" ref="AU28:AU39" si="25">100-((H28-MIN($H$28:$H$39))/(MAX($H$28:$H$39)-MIN($H$28:$H$39))*100)</f>
        <v>64.285714285714278</v>
      </c>
      <c r="AV28">
        <f t="shared" si="13"/>
        <v>95</v>
      </c>
      <c r="AW28">
        <f t="shared" si="14"/>
        <v>98</v>
      </c>
      <c r="AX28">
        <f t="shared" si="15"/>
        <v>75</v>
      </c>
      <c r="AY28">
        <f t="shared" si="3"/>
        <v>99.980199960399915</v>
      </c>
      <c r="AZ28">
        <f t="shared" si="16"/>
        <v>97</v>
      </c>
      <c r="BA28">
        <f t="shared" si="17"/>
        <v>83.734724283734266</v>
      </c>
      <c r="BB28">
        <f>RANK(BA28, $BA$28:$BA$39, 0)</f>
        <v>4</v>
      </c>
      <c r="BC28" t="str">
        <f t="shared" si="19"/>
        <v>FRUIT-001</v>
      </c>
    </row>
    <row r="29" spans="2:55" ht="39.6" x14ac:dyDescent="0.3">
      <c r="B29" s="5" t="s">
        <v>29</v>
      </c>
      <c r="C29" s="15" t="s">
        <v>1219</v>
      </c>
      <c r="D29" s="5" t="s">
        <v>137</v>
      </c>
      <c r="E29" s="5" t="s">
        <v>138</v>
      </c>
      <c r="F29" s="5" t="s">
        <v>139</v>
      </c>
      <c r="G29" s="5">
        <v>120</v>
      </c>
      <c r="H29" s="5">
        <v>380</v>
      </c>
      <c r="I29" s="5">
        <v>200</v>
      </c>
      <c r="J29" s="5">
        <v>76000</v>
      </c>
      <c r="K29" s="5">
        <v>2</v>
      </c>
      <c r="L29" s="5">
        <v>1</v>
      </c>
      <c r="M29" s="5">
        <v>1.5</v>
      </c>
      <c r="N29" s="5">
        <v>95</v>
      </c>
      <c r="O29" s="5">
        <v>30</v>
      </c>
      <c r="P29" s="5" t="s">
        <v>34</v>
      </c>
      <c r="Q29" s="5">
        <v>7</v>
      </c>
      <c r="R29" s="5">
        <v>9</v>
      </c>
      <c r="S29" s="5" t="s">
        <v>62</v>
      </c>
      <c r="T29" s="5">
        <v>8.5</v>
      </c>
      <c r="U29" s="5" t="s">
        <v>53</v>
      </c>
      <c r="V29" s="5" t="s">
        <v>54</v>
      </c>
      <c r="W29" s="5">
        <v>2</v>
      </c>
      <c r="X29" s="5" t="s">
        <v>38</v>
      </c>
      <c r="Y29" s="5">
        <v>15</v>
      </c>
      <c r="Z29" s="5">
        <v>8</v>
      </c>
      <c r="AA29" s="5" t="s">
        <v>134</v>
      </c>
      <c r="AB29" s="5" t="s">
        <v>140</v>
      </c>
      <c r="AC29" s="5" t="s">
        <v>141</v>
      </c>
      <c r="AD29" s="5"/>
      <c r="AF29" s="15" t="s">
        <v>1219</v>
      </c>
      <c r="AG29" s="15" t="s">
        <v>138</v>
      </c>
      <c r="AH29">
        <f t="shared" si="24"/>
        <v>78.571428571428569</v>
      </c>
      <c r="AI29">
        <f t="shared" si="4"/>
        <v>70</v>
      </c>
      <c r="AJ29" s="12">
        <f t="shared" si="5"/>
        <v>70</v>
      </c>
      <c r="AK29">
        <f t="shared" si="6"/>
        <v>95</v>
      </c>
      <c r="AL29">
        <f t="shared" si="1"/>
        <v>90</v>
      </c>
      <c r="AM29">
        <f t="shared" si="7"/>
        <v>76</v>
      </c>
      <c r="AN29">
        <f t="shared" si="2"/>
        <v>99.960199920399845</v>
      </c>
      <c r="AO29">
        <f t="shared" si="8"/>
        <v>80</v>
      </c>
      <c r="AP29">
        <f t="shared" si="9"/>
        <v>79.291663140469126</v>
      </c>
      <c r="AQ29">
        <f t="shared" ref="AQ29:AQ39" si="26">RANK(AP29, $AP$28:$AP$39, 0)</f>
        <v>4</v>
      </c>
      <c r="AR29" t="str">
        <f t="shared" si="11"/>
        <v>FRUIT-002</v>
      </c>
      <c r="AS29" s="15" t="s">
        <v>1219</v>
      </c>
      <c r="AT29" s="15" t="s">
        <v>138</v>
      </c>
      <c r="AU29">
        <f t="shared" si="25"/>
        <v>78.571428571428569</v>
      </c>
      <c r="AV29">
        <f t="shared" si="13"/>
        <v>90</v>
      </c>
      <c r="AW29">
        <f t="shared" si="14"/>
        <v>95</v>
      </c>
      <c r="AX29">
        <f t="shared" si="15"/>
        <v>70</v>
      </c>
      <c r="AY29">
        <f t="shared" si="3"/>
        <v>99.960199920399845</v>
      </c>
      <c r="AZ29">
        <f t="shared" si="16"/>
        <v>76</v>
      </c>
      <c r="BA29">
        <f t="shared" si="17"/>
        <v>84.369438567448555</v>
      </c>
      <c r="BB29">
        <f t="shared" ref="BB29:BB39" si="27">RANK(BA29, $BA$28:$BA$39, 0)</f>
        <v>3</v>
      </c>
      <c r="BC29" t="str">
        <f t="shared" si="19"/>
        <v>FRUIT-002</v>
      </c>
    </row>
    <row r="30" spans="2:55" ht="39.6" x14ac:dyDescent="0.3">
      <c r="B30" s="5" t="s">
        <v>29</v>
      </c>
      <c r="C30" s="15" t="s">
        <v>1219</v>
      </c>
      <c r="D30" s="5" t="s">
        <v>142</v>
      </c>
      <c r="E30" s="5" t="s">
        <v>143</v>
      </c>
      <c r="F30" s="5" t="s">
        <v>50</v>
      </c>
      <c r="G30" s="5">
        <v>150</v>
      </c>
      <c r="H30" s="5">
        <v>450</v>
      </c>
      <c r="I30" s="5">
        <v>500</v>
      </c>
      <c r="J30" s="5">
        <v>225000</v>
      </c>
      <c r="K30" s="5">
        <v>10</v>
      </c>
      <c r="L30" s="5">
        <v>5</v>
      </c>
      <c r="M30" s="5">
        <v>0.8</v>
      </c>
      <c r="N30" s="5">
        <v>92</v>
      </c>
      <c r="O30" s="5">
        <v>45</v>
      </c>
      <c r="P30" s="5" t="s">
        <v>44</v>
      </c>
      <c r="Q30" s="5">
        <v>8.5</v>
      </c>
      <c r="R30" s="5">
        <v>8</v>
      </c>
      <c r="S30" s="5" t="s">
        <v>74</v>
      </c>
      <c r="T30" s="5">
        <v>8</v>
      </c>
      <c r="U30" s="5" t="s">
        <v>36</v>
      </c>
      <c r="V30" s="5" t="s">
        <v>37</v>
      </c>
      <c r="W30" s="5">
        <v>3</v>
      </c>
      <c r="X30" s="5" t="s">
        <v>38</v>
      </c>
      <c r="Y30" s="5">
        <v>25</v>
      </c>
      <c r="Z30" s="5">
        <v>7.5</v>
      </c>
      <c r="AA30" s="5" t="s">
        <v>144</v>
      </c>
      <c r="AB30" s="5" t="s">
        <v>145</v>
      </c>
      <c r="AC30" s="5" t="s">
        <v>136</v>
      </c>
      <c r="AD30" s="5"/>
      <c r="AF30" s="15" t="s">
        <v>1219</v>
      </c>
      <c r="AG30" s="15" t="s">
        <v>143</v>
      </c>
      <c r="AH30">
        <f t="shared" si="24"/>
        <v>53.571428571428569</v>
      </c>
      <c r="AI30">
        <f t="shared" si="4"/>
        <v>85</v>
      </c>
      <c r="AJ30" s="12">
        <f t="shared" si="5"/>
        <v>84</v>
      </c>
      <c r="AK30">
        <f t="shared" si="6"/>
        <v>92</v>
      </c>
      <c r="AL30">
        <f t="shared" si="1"/>
        <v>50</v>
      </c>
      <c r="AM30">
        <f t="shared" si="7"/>
        <v>70</v>
      </c>
      <c r="AN30">
        <f t="shared" si="2"/>
        <v>99.900199800399605</v>
      </c>
      <c r="AO30">
        <f t="shared" si="8"/>
        <v>75</v>
      </c>
      <c r="AP30">
        <f t="shared" si="9"/>
        <v>74.03986313686913</v>
      </c>
      <c r="AQ30">
        <f t="shared" si="26"/>
        <v>6</v>
      </c>
      <c r="AR30" t="str">
        <f t="shared" si="11"/>
        <v>FRUIT-003</v>
      </c>
      <c r="AS30" s="15" t="s">
        <v>1219</v>
      </c>
      <c r="AT30" s="15" t="s">
        <v>143</v>
      </c>
      <c r="AU30">
        <f t="shared" si="25"/>
        <v>53.571428571428569</v>
      </c>
      <c r="AV30">
        <f t="shared" si="13"/>
        <v>50</v>
      </c>
      <c r="AW30">
        <f t="shared" si="14"/>
        <v>92</v>
      </c>
      <c r="AX30">
        <f t="shared" si="15"/>
        <v>85</v>
      </c>
      <c r="AY30">
        <f t="shared" si="3"/>
        <v>99.900199800399605</v>
      </c>
      <c r="AZ30">
        <f t="shared" si="16"/>
        <v>70</v>
      </c>
      <c r="BA30">
        <f t="shared" si="17"/>
        <v>68.216438561448555</v>
      </c>
      <c r="BB30">
        <f t="shared" si="27"/>
        <v>7</v>
      </c>
      <c r="BC30" t="str">
        <f t="shared" si="19"/>
        <v>FRUIT-003</v>
      </c>
    </row>
    <row r="31" spans="2:55" ht="39.6" x14ac:dyDescent="0.3">
      <c r="B31" s="5" t="s">
        <v>29</v>
      </c>
      <c r="C31" s="15" t="s">
        <v>1219</v>
      </c>
      <c r="D31" s="5" t="s">
        <v>146</v>
      </c>
      <c r="E31" s="5" t="s">
        <v>147</v>
      </c>
      <c r="F31" s="5" t="s">
        <v>50</v>
      </c>
      <c r="G31" s="5">
        <v>150</v>
      </c>
      <c r="H31" s="5">
        <v>360</v>
      </c>
      <c r="I31" s="5">
        <v>300</v>
      </c>
      <c r="J31" s="5">
        <v>108000</v>
      </c>
      <c r="K31" s="5">
        <v>7</v>
      </c>
      <c r="L31" s="5">
        <v>3</v>
      </c>
      <c r="M31" s="5">
        <v>1</v>
      </c>
      <c r="N31" s="5">
        <v>93</v>
      </c>
      <c r="O31" s="5">
        <v>30</v>
      </c>
      <c r="P31" s="5" t="s">
        <v>130</v>
      </c>
      <c r="Q31" s="5">
        <v>7.8</v>
      </c>
      <c r="R31" s="5">
        <v>8.5</v>
      </c>
      <c r="S31" s="5" t="s">
        <v>67</v>
      </c>
      <c r="T31" s="5">
        <v>7.5</v>
      </c>
      <c r="U31" s="5" t="s">
        <v>53</v>
      </c>
      <c r="V31" s="5" t="s">
        <v>54</v>
      </c>
      <c r="W31" s="5">
        <v>2</v>
      </c>
      <c r="X31" s="5" t="s">
        <v>38</v>
      </c>
      <c r="Y31" s="5">
        <v>20</v>
      </c>
      <c r="Z31" s="5">
        <v>8</v>
      </c>
      <c r="AA31" s="5" t="s">
        <v>144</v>
      </c>
      <c r="AB31" s="5" t="s">
        <v>148</v>
      </c>
      <c r="AC31" s="5" t="s">
        <v>136</v>
      </c>
      <c r="AD31" s="5"/>
      <c r="AF31" s="15" t="s">
        <v>1219</v>
      </c>
      <c r="AG31" s="15" t="s">
        <v>147</v>
      </c>
      <c r="AH31">
        <f t="shared" si="24"/>
        <v>85.714285714285722</v>
      </c>
      <c r="AI31">
        <f t="shared" si="4"/>
        <v>78</v>
      </c>
      <c r="AJ31" s="12">
        <f t="shared" si="5"/>
        <v>80</v>
      </c>
      <c r="AK31">
        <f t="shared" si="6"/>
        <v>93</v>
      </c>
      <c r="AL31">
        <f t="shared" si="1"/>
        <v>65</v>
      </c>
      <c r="AM31">
        <f t="shared" si="7"/>
        <v>70</v>
      </c>
      <c r="AN31">
        <f t="shared" si="2"/>
        <v>99.94019988039976</v>
      </c>
      <c r="AO31">
        <f t="shared" si="8"/>
        <v>80</v>
      </c>
      <c r="AP31">
        <f t="shared" si="9"/>
        <v>81.476777424983425</v>
      </c>
      <c r="AQ31">
        <f t="shared" si="26"/>
        <v>2</v>
      </c>
      <c r="AR31" t="str">
        <f t="shared" si="11"/>
        <v>FRUIT-004</v>
      </c>
      <c r="AS31" s="15" t="s">
        <v>1219</v>
      </c>
      <c r="AT31" s="15" t="s">
        <v>147</v>
      </c>
      <c r="AU31">
        <f t="shared" si="25"/>
        <v>85.714285714285722</v>
      </c>
      <c r="AV31">
        <f t="shared" si="13"/>
        <v>65</v>
      </c>
      <c r="AW31">
        <f t="shared" si="14"/>
        <v>93</v>
      </c>
      <c r="AX31">
        <f t="shared" si="15"/>
        <v>78</v>
      </c>
      <c r="AY31">
        <f t="shared" si="3"/>
        <v>99.94019988039976</v>
      </c>
      <c r="AZ31">
        <f t="shared" si="16"/>
        <v>70</v>
      </c>
      <c r="BA31">
        <f t="shared" si="17"/>
        <v>80.76129570830571</v>
      </c>
      <c r="BB31">
        <f t="shared" si="27"/>
        <v>5</v>
      </c>
      <c r="BC31" t="str">
        <f t="shared" si="19"/>
        <v>FRUIT-004</v>
      </c>
    </row>
    <row r="32" spans="2:55" ht="39.6" x14ac:dyDescent="0.3">
      <c r="B32" s="5" t="s">
        <v>29</v>
      </c>
      <c r="C32" s="15" t="s">
        <v>1219</v>
      </c>
      <c r="D32" s="5" t="s">
        <v>149</v>
      </c>
      <c r="E32" s="5" t="s">
        <v>150</v>
      </c>
      <c r="F32" s="5" t="s">
        <v>59</v>
      </c>
      <c r="G32" s="5">
        <v>200</v>
      </c>
      <c r="H32" s="5">
        <v>520</v>
      </c>
      <c r="I32" s="5">
        <v>150</v>
      </c>
      <c r="J32" s="5">
        <v>78000</v>
      </c>
      <c r="K32" s="5">
        <v>5</v>
      </c>
      <c r="L32" s="5">
        <v>2</v>
      </c>
      <c r="M32" s="5">
        <v>1.2</v>
      </c>
      <c r="N32" s="5">
        <v>94</v>
      </c>
      <c r="O32" s="5">
        <v>30</v>
      </c>
      <c r="P32" s="5" t="s">
        <v>73</v>
      </c>
      <c r="Q32" s="5">
        <v>8.1999999999999993</v>
      </c>
      <c r="R32" s="5">
        <v>8.6999999999999993</v>
      </c>
      <c r="S32" s="5" t="s">
        <v>62</v>
      </c>
      <c r="T32" s="5">
        <v>9</v>
      </c>
      <c r="U32" s="5" t="s">
        <v>53</v>
      </c>
      <c r="V32" s="5" t="s">
        <v>54</v>
      </c>
      <c r="W32" s="5">
        <v>2</v>
      </c>
      <c r="X32" s="5" t="s">
        <v>38</v>
      </c>
      <c r="Y32" s="5">
        <v>12</v>
      </c>
      <c r="Z32" s="5">
        <v>8.1999999999999993</v>
      </c>
      <c r="AA32" s="5" t="s">
        <v>151</v>
      </c>
      <c r="AB32" s="5" t="s">
        <v>135</v>
      </c>
      <c r="AC32" s="5" t="s">
        <v>141</v>
      </c>
      <c r="AD32" s="5"/>
      <c r="AF32" s="15" t="s">
        <v>1219</v>
      </c>
      <c r="AG32" s="15" t="s">
        <v>150</v>
      </c>
      <c r="AH32">
        <f t="shared" si="24"/>
        <v>28.571428571428569</v>
      </c>
      <c r="AI32">
        <f t="shared" si="4"/>
        <v>82</v>
      </c>
      <c r="AJ32" s="12">
        <f t="shared" si="5"/>
        <v>76</v>
      </c>
      <c r="AK32">
        <f t="shared" si="6"/>
        <v>94</v>
      </c>
      <c r="AL32">
        <f t="shared" si="1"/>
        <v>75</v>
      </c>
      <c r="AM32">
        <f t="shared" si="7"/>
        <v>60</v>
      </c>
      <c r="AN32">
        <f t="shared" si="2"/>
        <v>99.97019994039988</v>
      </c>
      <c r="AO32">
        <f t="shared" si="8"/>
        <v>82</v>
      </c>
      <c r="AP32">
        <f t="shared" si="9"/>
        <v>68.281963141069141</v>
      </c>
      <c r="AQ32">
        <f t="shared" si="26"/>
        <v>10</v>
      </c>
      <c r="AR32" t="str">
        <f t="shared" si="11"/>
        <v>FRUIT-005</v>
      </c>
      <c r="AS32" s="15" t="s">
        <v>1219</v>
      </c>
      <c r="AT32" s="15" t="s">
        <v>150</v>
      </c>
      <c r="AU32">
        <f t="shared" si="25"/>
        <v>28.571428571428569</v>
      </c>
      <c r="AV32">
        <f t="shared" si="13"/>
        <v>75</v>
      </c>
      <c r="AW32">
        <f t="shared" si="14"/>
        <v>94</v>
      </c>
      <c r="AX32">
        <f t="shared" si="15"/>
        <v>82</v>
      </c>
      <c r="AY32">
        <f t="shared" si="3"/>
        <v>99.97019994039988</v>
      </c>
      <c r="AZ32">
        <f t="shared" si="16"/>
        <v>60</v>
      </c>
      <c r="BA32">
        <f t="shared" si="17"/>
        <v>66.419938568448558</v>
      </c>
      <c r="BB32">
        <f t="shared" si="27"/>
        <v>8</v>
      </c>
      <c r="BC32" t="str">
        <f t="shared" si="19"/>
        <v>FRUIT-005</v>
      </c>
    </row>
    <row r="33" spans="2:55" ht="39.6" x14ac:dyDescent="0.3">
      <c r="B33" s="5" t="s">
        <v>29</v>
      </c>
      <c r="C33" s="15" t="s">
        <v>1219</v>
      </c>
      <c r="D33" s="5" t="s">
        <v>152</v>
      </c>
      <c r="E33" s="5" t="s">
        <v>153</v>
      </c>
      <c r="F33" s="5" t="s">
        <v>50</v>
      </c>
      <c r="G33" s="5">
        <v>150</v>
      </c>
      <c r="H33" s="5">
        <v>580</v>
      </c>
      <c r="I33" s="5">
        <v>500</v>
      </c>
      <c r="J33" s="5">
        <v>290000</v>
      </c>
      <c r="K33" s="5">
        <v>14</v>
      </c>
      <c r="L33" s="5">
        <v>7</v>
      </c>
      <c r="M33" s="5">
        <v>0.5</v>
      </c>
      <c r="N33" s="5">
        <v>90</v>
      </c>
      <c r="O33" s="5" t="s">
        <v>154</v>
      </c>
      <c r="P33" s="5" t="s">
        <v>34</v>
      </c>
      <c r="Q33" s="5">
        <v>9</v>
      </c>
      <c r="R33" s="5">
        <v>8</v>
      </c>
      <c r="S33" s="5" t="s">
        <v>155</v>
      </c>
      <c r="T33" s="5">
        <v>9.1999999999999993</v>
      </c>
      <c r="U33" s="5" t="s">
        <v>36</v>
      </c>
      <c r="V33" s="5" t="s">
        <v>46</v>
      </c>
      <c r="W33" s="5">
        <v>1</v>
      </c>
      <c r="X33" s="5" t="s">
        <v>68</v>
      </c>
      <c r="Y33" s="5">
        <v>30</v>
      </c>
      <c r="Z33" s="5">
        <v>7.8</v>
      </c>
      <c r="AA33" s="5" t="s">
        <v>151</v>
      </c>
      <c r="AB33" s="5" t="s">
        <v>156</v>
      </c>
      <c r="AC33" s="5" t="s">
        <v>141</v>
      </c>
      <c r="AD33" s="5"/>
      <c r="AF33" s="15" t="s">
        <v>1219</v>
      </c>
      <c r="AG33" s="15" t="s">
        <v>153</v>
      </c>
      <c r="AH33">
        <f t="shared" si="24"/>
        <v>7.1428571428571388</v>
      </c>
      <c r="AI33">
        <f t="shared" si="4"/>
        <v>90</v>
      </c>
      <c r="AJ33" s="12">
        <f t="shared" si="5"/>
        <v>90</v>
      </c>
      <c r="AK33">
        <f t="shared" si="6"/>
        <v>90</v>
      </c>
      <c r="AL33">
        <f t="shared" si="1"/>
        <v>30</v>
      </c>
      <c r="AM33">
        <f t="shared" si="7"/>
        <v>70</v>
      </c>
      <c r="AN33">
        <f t="shared" si="2"/>
        <v>99.900199800399605</v>
      </c>
      <c r="AO33">
        <f t="shared" si="8"/>
        <v>78</v>
      </c>
      <c r="AP33">
        <f t="shared" si="9"/>
        <v>62.342720279726272</v>
      </c>
      <c r="AQ33">
        <f t="shared" si="26"/>
        <v>12</v>
      </c>
      <c r="AR33" t="str">
        <f t="shared" si="11"/>
        <v>FRUIT-006</v>
      </c>
      <c r="AS33" s="15" t="s">
        <v>1219</v>
      </c>
      <c r="AT33" s="15" t="s">
        <v>153</v>
      </c>
      <c r="AU33">
        <f t="shared" si="25"/>
        <v>7.1428571428571388</v>
      </c>
      <c r="AV33">
        <f t="shared" si="13"/>
        <v>30</v>
      </c>
      <c r="AW33">
        <f t="shared" si="14"/>
        <v>90</v>
      </c>
      <c r="AX33">
        <f t="shared" si="15"/>
        <v>90</v>
      </c>
      <c r="AY33">
        <f t="shared" si="3"/>
        <v>99.900199800399605</v>
      </c>
      <c r="AZ33">
        <f t="shared" si="16"/>
        <v>70</v>
      </c>
      <c r="BA33">
        <f t="shared" si="17"/>
        <v>49.637867132877119</v>
      </c>
      <c r="BB33">
        <f t="shared" si="27"/>
        <v>12</v>
      </c>
      <c r="BC33" t="str">
        <f t="shared" si="19"/>
        <v>FRUIT-006</v>
      </c>
    </row>
    <row r="34" spans="2:55" ht="39.6" x14ac:dyDescent="0.3">
      <c r="B34" s="5" t="s">
        <v>29</v>
      </c>
      <c r="C34" s="15" t="s">
        <v>1219</v>
      </c>
      <c r="D34" s="5" t="s">
        <v>157</v>
      </c>
      <c r="E34" s="5" t="s">
        <v>158</v>
      </c>
      <c r="F34" s="5" t="s">
        <v>50</v>
      </c>
      <c r="G34" s="5">
        <v>150</v>
      </c>
      <c r="H34" s="5">
        <v>480</v>
      </c>
      <c r="I34" s="5">
        <v>1000</v>
      </c>
      <c r="J34" s="5">
        <v>480000</v>
      </c>
      <c r="K34" s="5">
        <v>21</v>
      </c>
      <c r="L34" s="5">
        <v>10</v>
      </c>
      <c r="M34" s="5">
        <v>0.3</v>
      </c>
      <c r="N34" s="5">
        <v>88</v>
      </c>
      <c r="O34" s="5" t="s">
        <v>159</v>
      </c>
      <c r="P34" s="5" t="s">
        <v>94</v>
      </c>
      <c r="Q34" s="5">
        <v>9.5</v>
      </c>
      <c r="R34" s="5">
        <v>7.5</v>
      </c>
      <c r="S34" s="5" t="s">
        <v>160</v>
      </c>
      <c r="T34" s="5">
        <v>9</v>
      </c>
      <c r="U34" s="5" t="s">
        <v>36</v>
      </c>
      <c r="V34" s="5" t="s">
        <v>37</v>
      </c>
      <c r="W34" s="5">
        <v>1</v>
      </c>
      <c r="X34" s="5" t="s">
        <v>68</v>
      </c>
      <c r="Y34" s="5">
        <v>40</v>
      </c>
      <c r="Z34" s="5">
        <v>7</v>
      </c>
      <c r="AA34" s="5" t="s">
        <v>144</v>
      </c>
      <c r="AB34" s="5" t="s">
        <v>161</v>
      </c>
      <c r="AC34" s="5" t="s">
        <v>141</v>
      </c>
      <c r="AD34" s="5"/>
      <c r="AF34" s="15" t="s">
        <v>1219</v>
      </c>
      <c r="AG34" s="15" t="s">
        <v>158</v>
      </c>
      <c r="AH34">
        <f t="shared" si="24"/>
        <v>42.857142857142861</v>
      </c>
      <c r="AI34">
        <f t="shared" si="4"/>
        <v>95</v>
      </c>
      <c r="AJ34" s="12">
        <f t="shared" si="5"/>
        <v>94</v>
      </c>
      <c r="AK34">
        <f t="shared" si="6"/>
        <v>88</v>
      </c>
      <c r="AL34">
        <f t="shared" si="1"/>
        <v>0</v>
      </c>
      <c r="AM34">
        <f t="shared" si="7"/>
        <v>70</v>
      </c>
      <c r="AN34">
        <f t="shared" si="2"/>
        <v>99.800199600399196</v>
      </c>
      <c r="AO34">
        <f t="shared" si="8"/>
        <v>70</v>
      </c>
      <c r="AP34">
        <f t="shared" si="9"/>
        <v>69.658291702297703</v>
      </c>
      <c r="AQ34">
        <f t="shared" si="26"/>
        <v>8</v>
      </c>
      <c r="AR34" t="str">
        <f t="shared" si="11"/>
        <v>FRUIT-007</v>
      </c>
      <c r="AS34" s="15" t="s">
        <v>1219</v>
      </c>
      <c r="AT34" s="15" t="s">
        <v>158</v>
      </c>
      <c r="AU34">
        <f t="shared" si="25"/>
        <v>42.857142857142861</v>
      </c>
      <c r="AV34">
        <f t="shared" si="13"/>
        <v>0</v>
      </c>
      <c r="AW34">
        <f t="shared" si="14"/>
        <v>88</v>
      </c>
      <c r="AX34">
        <f t="shared" si="15"/>
        <v>95</v>
      </c>
      <c r="AY34">
        <f t="shared" si="3"/>
        <v>99.800199600399196</v>
      </c>
      <c r="AZ34">
        <f t="shared" si="16"/>
        <v>70</v>
      </c>
      <c r="BA34">
        <f t="shared" si="17"/>
        <v>53.197152837162818</v>
      </c>
      <c r="BB34">
        <f t="shared" si="27"/>
        <v>11</v>
      </c>
      <c r="BC34" t="str">
        <f t="shared" si="19"/>
        <v>FRUIT-007</v>
      </c>
    </row>
    <row r="35" spans="2:55" ht="39.6" x14ac:dyDescent="0.3">
      <c r="B35" s="5" t="s">
        <v>29</v>
      </c>
      <c r="C35" s="15" t="s">
        <v>1219</v>
      </c>
      <c r="D35" s="5" t="s">
        <v>162</v>
      </c>
      <c r="E35" s="5" t="s">
        <v>163</v>
      </c>
      <c r="F35" s="5" t="s">
        <v>164</v>
      </c>
      <c r="G35" s="5">
        <v>240</v>
      </c>
      <c r="H35" s="5">
        <v>350</v>
      </c>
      <c r="I35" s="5">
        <v>100</v>
      </c>
      <c r="J35" s="5">
        <v>35000</v>
      </c>
      <c r="K35" s="5">
        <v>3</v>
      </c>
      <c r="L35" s="5">
        <v>1</v>
      </c>
      <c r="M35" s="5">
        <v>1.8</v>
      </c>
      <c r="N35" s="5">
        <v>96</v>
      </c>
      <c r="O35" s="5">
        <v>30</v>
      </c>
      <c r="P35" s="5" t="s">
        <v>118</v>
      </c>
      <c r="Q35" s="5">
        <v>6.8</v>
      </c>
      <c r="R35" s="5">
        <v>9.3000000000000007</v>
      </c>
      <c r="S35" s="5" t="s">
        <v>67</v>
      </c>
      <c r="T35" s="5">
        <v>7.8</v>
      </c>
      <c r="U35" s="5" t="s">
        <v>81</v>
      </c>
      <c r="V35" s="5" t="s">
        <v>54</v>
      </c>
      <c r="W35" s="5">
        <v>1</v>
      </c>
      <c r="X35" s="5" t="s">
        <v>38</v>
      </c>
      <c r="Y35" s="5">
        <v>8</v>
      </c>
      <c r="Z35" s="5">
        <v>8.5</v>
      </c>
      <c r="AA35" s="5" t="s">
        <v>134</v>
      </c>
      <c r="AB35" s="5" t="s">
        <v>131</v>
      </c>
      <c r="AC35" s="5" t="s">
        <v>136</v>
      </c>
      <c r="AD35" s="5"/>
      <c r="AF35" s="15" t="s">
        <v>1219</v>
      </c>
      <c r="AG35" s="15" t="s">
        <v>163</v>
      </c>
      <c r="AH35">
        <f t="shared" si="24"/>
        <v>89.285714285714292</v>
      </c>
      <c r="AI35">
        <f t="shared" si="4"/>
        <v>68</v>
      </c>
      <c r="AJ35" s="12">
        <f t="shared" si="5"/>
        <v>64</v>
      </c>
      <c r="AK35">
        <f t="shared" si="6"/>
        <v>96</v>
      </c>
      <c r="AL35">
        <f t="shared" si="1"/>
        <v>85</v>
      </c>
      <c r="AM35">
        <f t="shared" si="7"/>
        <v>52</v>
      </c>
      <c r="AN35">
        <f t="shared" si="2"/>
        <v>99.980199960399915</v>
      </c>
      <c r="AO35">
        <f t="shared" si="8"/>
        <v>85</v>
      </c>
      <c r="AP35">
        <f t="shared" si="9"/>
        <v>79.120834570240561</v>
      </c>
      <c r="AQ35">
        <f t="shared" si="26"/>
        <v>5</v>
      </c>
      <c r="AR35" t="str">
        <f t="shared" si="11"/>
        <v>FRUIT-008</v>
      </c>
      <c r="AS35" s="15" t="s">
        <v>1219</v>
      </c>
      <c r="AT35" s="15" t="s">
        <v>163</v>
      </c>
      <c r="AU35">
        <f t="shared" si="25"/>
        <v>89.285714285714292</v>
      </c>
      <c r="AV35">
        <f t="shared" si="13"/>
        <v>85</v>
      </c>
      <c r="AW35">
        <f t="shared" si="14"/>
        <v>96</v>
      </c>
      <c r="AX35">
        <f t="shared" si="15"/>
        <v>68</v>
      </c>
      <c r="AY35">
        <f t="shared" si="3"/>
        <v>99.980199960399915</v>
      </c>
      <c r="AZ35">
        <f t="shared" si="16"/>
        <v>52</v>
      </c>
      <c r="BA35">
        <f t="shared" si="17"/>
        <v>85.034724283734292</v>
      </c>
      <c r="BB35">
        <f t="shared" si="27"/>
        <v>1</v>
      </c>
      <c r="BC35" t="str">
        <f t="shared" si="19"/>
        <v>FRUIT-008</v>
      </c>
    </row>
    <row r="36" spans="2:55" ht="39.6" x14ac:dyDescent="0.3">
      <c r="B36" s="5" t="s">
        <v>29</v>
      </c>
      <c r="C36" s="15" t="s">
        <v>1219</v>
      </c>
      <c r="D36" s="5" t="s">
        <v>165</v>
      </c>
      <c r="E36" s="5" t="s">
        <v>166</v>
      </c>
      <c r="F36" s="5" t="s">
        <v>84</v>
      </c>
      <c r="G36" s="5">
        <v>150</v>
      </c>
      <c r="H36" s="5">
        <v>550</v>
      </c>
      <c r="I36" s="5">
        <v>200</v>
      </c>
      <c r="J36" s="5">
        <v>110000</v>
      </c>
      <c r="K36" s="5">
        <v>7</v>
      </c>
      <c r="L36" s="5">
        <v>3</v>
      </c>
      <c r="M36" s="5">
        <v>0.6</v>
      </c>
      <c r="N36" s="5">
        <v>95</v>
      </c>
      <c r="O36" s="5">
        <v>45</v>
      </c>
      <c r="P36" s="5" t="s">
        <v>85</v>
      </c>
      <c r="Q36" s="5">
        <v>8.8000000000000007</v>
      </c>
      <c r="R36" s="5">
        <v>8.5</v>
      </c>
      <c r="S36" s="5" t="s">
        <v>167</v>
      </c>
      <c r="T36" s="5">
        <v>8.5</v>
      </c>
      <c r="U36" s="5" t="s">
        <v>36</v>
      </c>
      <c r="V36" s="5" t="s">
        <v>46</v>
      </c>
      <c r="W36" s="5">
        <v>2</v>
      </c>
      <c r="X36" s="5" t="s">
        <v>38</v>
      </c>
      <c r="Y36" s="5">
        <v>18</v>
      </c>
      <c r="Z36" s="5">
        <v>8.8000000000000007</v>
      </c>
      <c r="AA36" s="5" t="s">
        <v>151</v>
      </c>
      <c r="AB36" s="5" t="s">
        <v>168</v>
      </c>
      <c r="AC36" s="5" t="s">
        <v>141</v>
      </c>
      <c r="AD36" s="5"/>
      <c r="AF36" s="15" t="s">
        <v>1219</v>
      </c>
      <c r="AG36" s="15" t="s">
        <v>166</v>
      </c>
      <c r="AH36">
        <f t="shared" si="24"/>
        <v>17.857142857142861</v>
      </c>
      <c r="AI36">
        <f t="shared" si="4"/>
        <v>88</v>
      </c>
      <c r="AJ36" s="12">
        <f t="shared" si="5"/>
        <v>88</v>
      </c>
      <c r="AK36">
        <f t="shared" si="6"/>
        <v>95</v>
      </c>
      <c r="AL36">
        <f t="shared" si="1"/>
        <v>65</v>
      </c>
      <c r="AM36">
        <f t="shared" si="7"/>
        <v>70</v>
      </c>
      <c r="AN36">
        <f t="shared" si="2"/>
        <v>99.960199920399845</v>
      </c>
      <c r="AO36">
        <f t="shared" si="8"/>
        <v>88</v>
      </c>
      <c r="AP36">
        <f t="shared" si="9"/>
        <v>68.673091711897712</v>
      </c>
      <c r="AQ36">
        <f t="shared" si="26"/>
        <v>9</v>
      </c>
      <c r="AR36" t="str">
        <f t="shared" si="11"/>
        <v>FRUIT-009</v>
      </c>
      <c r="AS36" s="15" t="s">
        <v>1219</v>
      </c>
      <c r="AT36" s="15" t="s">
        <v>166</v>
      </c>
      <c r="AU36">
        <f t="shared" si="25"/>
        <v>17.857142857142861</v>
      </c>
      <c r="AV36">
        <f t="shared" si="13"/>
        <v>65</v>
      </c>
      <c r="AW36">
        <f t="shared" si="14"/>
        <v>95</v>
      </c>
      <c r="AX36">
        <f t="shared" si="15"/>
        <v>88</v>
      </c>
      <c r="AY36">
        <f t="shared" si="3"/>
        <v>99.960199920399845</v>
      </c>
      <c r="AZ36">
        <f t="shared" si="16"/>
        <v>70</v>
      </c>
      <c r="BA36">
        <f t="shared" si="17"/>
        <v>62.305152853162859</v>
      </c>
      <c r="BB36">
        <f t="shared" si="27"/>
        <v>9</v>
      </c>
      <c r="BC36" t="str">
        <f t="shared" si="19"/>
        <v>FRUIT-009</v>
      </c>
    </row>
    <row r="37" spans="2:55" ht="39.6" x14ac:dyDescent="0.3">
      <c r="B37" s="5" t="s">
        <v>29</v>
      </c>
      <c r="C37" s="15" t="s">
        <v>1219</v>
      </c>
      <c r="D37" s="5" t="s">
        <v>169</v>
      </c>
      <c r="E37" s="5" t="s">
        <v>170</v>
      </c>
      <c r="F37" s="5" t="s">
        <v>72</v>
      </c>
      <c r="G37" s="5">
        <v>20</v>
      </c>
      <c r="H37" s="5">
        <v>400</v>
      </c>
      <c r="I37" s="5">
        <v>150</v>
      </c>
      <c r="J37" s="5">
        <v>60000</v>
      </c>
      <c r="K37" s="5">
        <v>2</v>
      </c>
      <c r="L37" s="5">
        <v>1</v>
      </c>
      <c r="M37" s="5">
        <v>1.1000000000000001</v>
      </c>
      <c r="N37" s="5">
        <v>97</v>
      </c>
      <c r="O37" s="5">
        <v>30</v>
      </c>
      <c r="P37" s="5" t="s">
        <v>121</v>
      </c>
      <c r="Q37" s="5">
        <v>7.9</v>
      </c>
      <c r="R37" s="5">
        <v>9.4</v>
      </c>
      <c r="S37" s="5" t="s">
        <v>67</v>
      </c>
      <c r="T37" s="5">
        <v>8</v>
      </c>
      <c r="U37" s="5" t="s">
        <v>53</v>
      </c>
      <c r="V37" s="5" t="s">
        <v>37</v>
      </c>
      <c r="W37" s="5">
        <v>1</v>
      </c>
      <c r="X37" s="5" t="s">
        <v>38</v>
      </c>
      <c r="Y37" s="5">
        <v>10</v>
      </c>
      <c r="Z37" s="5">
        <v>9</v>
      </c>
      <c r="AA37" s="5" t="s">
        <v>134</v>
      </c>
      <c r="AB37" s="5" t="s">
        <v>171</v>
      </c>
      <c r="AC37" s="5" t="s">
        <v>141</v>
      </c>
      <c r="AD37" s="5"/>
      <c r="AF37" s="15" t="s">
        <v>1219</v>
      </c>
      <c r="AG37" s="15" t="s">
        <v>170</v>
      </c>
      <c r="AH37">
        <f t="shared" si="24"/>
        <v>71.428571428571431</v>
      </c>
      <c r="AI37">
        <f t="shared" si="4"/>
        <v>79</v>
      </c>
      <c r="AJ37" s="12">
        <f t="shared" si="5"/>
        <v>78</v>
      </c>
      <c r="AK37">
        <f t="shared" si="6"/>
        <v>97</v>
      </c>
      <c r="AL37">
        <f t="shared" si="1"/>
        <v>90</v>
      </c>
      <c r="AM37">
        <f t="shared" si="7"/>
        <v>96</v>
      </c>
      <c r="AN37">
        <f t="shared" si="2"/>
        <v>99.97019994039988</v>
      </c>
      <c r="AO37">
        <f t="shared" si="8"/>
        <v>90</v>
      </c>
      <c r="AP37">
        <f t="shared" si="9"/>
        <v>82.456248855354858</v>
      </c>
      <c r="AQ37">
        <f t="shared" si="26"/>
        <v>1</v>
      </c>
      <c r="AR37" t="str">
        <f t="shared" si="11"/>
        <v>FRUIT-010</v>
      </c>
      <c r="AS37" s="15" t="s">
        <v>1219</v>
      </c>
      <c r="AT37" s="15" t="s">
        <v>170</v>
      </c>
      <c r="AU37">
        <f t="shared" si="25"/>
        <v>71.428571428571431</v>
      </c>
      <c r="AV37">
        <f t="shared" si="13"/>
        <v>90</v>
      </c>
      <c r="AW37">
        <f t="shared" si="14"/>
        <v>97</v>
      </c>
      <c r="AX37">
        <f t="shared" si="15"/>
        <v>79</v>
      </c>
      <c r="AY37">
        <f t="shared" si="3"/>
        <v>99.97019994039988</v>
      </c>
      <c r="AZ37">
        <f t="shared" si="16"/>
        <v>96</v>
      </c>
      <c r="BA37">
        <f t="shared" si="17"/>
        <v>84.977081425591422</v>
      </c>
      <c r="BB37">
        <f t="shared" si="27"/>
        <v>2</v>
      </c>
      <c r="BC37" t="str">
        <f t="shared" si="19"/>
        <v>FRUIT-010</v>
      </c>
    </row>
    <row r="38" spans="2:55" ht="39.6" x14ac:dyDescent="0.3">
      <c r="B38" s="5" t="s">
        <v>29</v>
      </c>
      <c r="C38" s="15" t="s">
        <v>1219</v>
      </c>
      <c r="D38" s="5" t="s">
        <v>172</v>
      </c>
      <c r="E38" s="5" t="s">
        <v>173</v>
      </c>
      <c r="F38" s="5" t="s">
        <v>78</v>
      </c>
      <c r="G38" s="5">
        <v>1400</v>
      </c>
      <c r="H38" s="5">
        <v>320</v>
      </c>
      <c r="I38" s="5">
        <v>2000</v>
      </c>
      <c r="J38" s="5">
        <v>640000</v>
      </c>
      <c r="K38" s="5">
        <v>10</v>
      </c>
      <c r="L38" s="5">
        <v>5</v>
      </c>
      <c r="M38" s="5">
        <v>2</v>
      </c>
      <c r="N38" s="5">
        <v>85</v>
      </c>
      <c r="O38" s="5">
        <v>90</v>
      </c>
      <c r="P38" s="5" t="s">
        <v>51</v>
      </c>
      <c r="Q38" s="5">
        <v>6.5</v>
      </c>
      <c r="R38" s="5">
        <v>7</v>
      </c>
      <c r="S38" s="5" t="s">
        <v>54</v>
      </c>
      <c r="T38" s="5">
        <v>6</v>
      </c>
      <c r="U38" s="5" t="s">
        <v>174</v>
      </c>
      <c r="V38" s="5" t="s">
        <v>54</v>
      </c>
      <c r="W38" s="5">
        <v>3</v>
      </c>
      <c r="X38" s="5" t="s">
        <v>68</v>
      </c>
      <c r="Y38" s="5">
        <v>35</v>
      </c>
      <c r="Z38" s="5">
        <v>6</v>
      </c>
      <c r="AA38" s="5" t="s">
        <v>134</v>
      </c>
      <c r="AB38" s="5" t="s">
        <v>175</v>
      </c>
      <c r="AC38" s="5" t="s">
        <v>136</v>
      </c>
      <c r="AD38" s="5"/>
      <c r="AF38" s="15" t="s">
        <v>1219</v>
      </c>
      <c r="AG38" s="15" t="s">
        <v>173</v>
      </c>
      <c r="AH38">
        <f t="shared" si="24"/>
        <v>100</v>
      </c>
      <c r="AI38">
        <f t="shared" si="4"/>
        <v>65</v>
      </c>
      <c r="AJ38" s="12">
        <f t="shared" si="5"/>
        <v>60</v>
      </c>
      <c r="AK38">
        <f t="shared" si="6"/>
        <v>85</v>
      </c>
      <c r="AL38">
        <f t="shared" si="1"/>
        <v>50</v>
      </c>
      <c r="AM38">
        <f t="shared" si="7"/>
        <v>0</v>
      </c>
      <c r="AN38">
        <f t="shared" si="2"/>
        <v>99.600199200398407</v>
      </c>
      <c r="AO38">
        <f t="shared" si="8"/>
        <v>60</v>
      </c>
      <c r="AP38">
        <f t="shared" si="9"/>
        <v>72.188005976011951</v>
      </c>
      <c r="AQ38">
        <f t="shared" si="26"/>
        <v>7</v>
      </c>
      <c r="AR38" t="str">
        <f t="shared" si="11"/>
        <v>FRUIT-011</v>
      </c>
      <c r="AS38" s="15" t="s">
        <v>1219</v>
      </c>
      <c r="AT38" s="15" t="s">
        <v>173</v>
      </c>
      <c r="AU38">
        <f t="shared" si="25"/>
        <v>100</v>
      </c>
      <c r="AV38">
        <f t="shared" si="13"/>
        <v>50</v>
      </c>
      <c r="AW38">
        <f t="shared" si="14"/>
        <v>85</v>
      </c>
      <c r="AX38">
        <f t="shared" si="15"/>
        <v>65</v>
      </c>
      <c r="AY38">
        <f t="shared" si="3"/>
        <v>99.600199200398407</v>
      </c>
      <c r="AZ38">
        <f t="shared" si="16"/>
        <v>0</v>
      </c>
      <c r="BA38">
        <f t="shared" si="17"/>
        <v>74.230009960019913</v>
      </c>
      <c r="BB38">
        <f t="shared" si="27"/>
        <v>6</v>
      </c>
      <c r="BC38" t="str">
        <f t="shared" si="19"/>
        <v>FRUIT-011</v>
      </c>
    </row>
    <row r="39" spans="2:55" ht="39.6" x14ac:dyDescent="0.3">
      <c r="B39" s="5" t="s">
        <v>29</v>
      </c>
      <c r="C39" s="15" t="s">
        <v>1219</v>
      </c>
      <c r="D39" s="5" t="s">
        <v>176</v>
      </c>
      <c r="E39" s="5" t="s">
        <v>177</v>
      </c>
      <c r="F39" s="5" t="s">
        <v>178</v>
      </c>
      <c r="G39" s="5">
        <v>110</v>
      </c>
      <c r="H39" s="5">
        <v>600</v>
      </c>
      <c r="I39" s="5">
        <v>50</v>
      </c>
      <c r="J39" s="5">
        <v>30000</v>
      </c>
      <c r="K39" s="5">
        <v>4</v>
      </c>
      <c r="L39" s="5">
        <v>2</v>
      </c>
      <c r="M39" s="5">
        <v>0.4</v>
      </c>
      <c r="N39" s="5">
        <v>98</v>
      </c>
      <c r="O39" s="5">
        <v>30</v>
      </c>
      <c r="P39" s="5" t="s">
        <v>88</v>
      </c>
      <c r="Q39" s="5">
        <v>9.1999999999999993</v>
      </c>
      <c r="R39" s="5">
        <v>9.1</v>
      </c>
      <c r="S39" s="5" t="s">
        <v>179</v>
      </c>
      <c r="T39" s="5">
        <v>9.5</v>
      </c>
      <c r="U39" s="5" t="s">
        <v>53</v>
      </c>
      <c r="V39" s="5" t="s">
        <v>54</v>
      </c>
      <c r="W39" s="5">
        <v>1</v>
      </c>
      <c r="X39" s="5" t="s">
        <v>38</v>
      </c>
      <c r="Y39" s="5">
        <v>6</v>
      </c>
      <c r="Z39" s="5">
        <v>9.1999999999999993</v>
      </c>
      <c r="AA39" s="5" t="s">
        <v>151</v>
      </c>
      <c r="AB39" s="5" t="s">
        <v>180</v>
      </c>
      <c r="AC39" s="5" t="s">
        <v>141</v>
      </c>
      <c r="AD39" s="5"/>
      <c r="AF39" s="15" t="s">
        <v>1219</v>
      </c>
      <c r="AG39" s="15" t="s">
        <v>177</v>
      </c>
      <c r="AH39">
        <f t="shared" si="24"/>
        <v>0</v>
      </c>
      <c r="AI39">
        <f t="shared" si="4"/>
        <v>92</v>
      </c>
      <c r="AJ39" s="12">
        <f t="shared" si="5"/>
        <v>92</v>
      </c>
      <c r="AK39">
        <f t="shared" si="6"/>
        <v>98</v>
      </c>
      <c r="AL39">
        <f t="shared" si="1"/>
        <v>80</v>
      </c>
      <c r="AM39">
        <f t="shared" si="7"/>
        <v>78</v>
      </c>
      <c r="AN39">
        <f t="shared" si="2"/>
        <v>99.990199980399964</v>
      </c>
      <c r="AO39">
        <f t="shared" si="8"/>
        <v>92</v>
      </c>
      <c r="AP39">
        <f t="shared" si="9"/>
        <v>68.239705999411996</v>
      </c>
      <c r="AQ39">
        <f t="shared" si="26"/>
        <v>11</v>
      </c>
      <c r="AR39" t="str">
        <f t="shared" si="11"/>
        <v>FRUIT-012</v>
      </c>
      <c r="AS39" s="15" t="s">
        <v>1219</v>
      </c>
      <c r="AT39" s="15" t="s">
        <v>177</v>
      </c>
      <c r="AU39">
        <f t="shared" si="25"/>
        <v>0</v>
      </c>
      <c r="AV39">
        <f t="shared" si="13"/>
        <v>80</v>
      </c>
      <c r="AW39">
        <f t="shared" si="14"/>
        <v>98</v>
      </c>
      <c r="AX39">
        <f t="shared" si="15"/>
        <v>92</v>
      </c>
      <c r="AY39">
        <f t="shared" si="3"/>
        <v>99.990199980399964</v>
      </c>
      <c r="AZ39">
        <f t="shared" si="16"/>
        <v>78</v>
      </c>
      <c r="BA39">
        <f t="shared" si="17"/>
        <v>62.299509999019996</v>
      </c>
      <c r="BB39">
        <f t="shared" si="27"/>
        <v>10</v>
      </c>
      <c r="BC39" t="str">
        <f t="shared" si="19"/>
        <v>FRUIT-012</v>
      </c>
    </row>
    <row r="40" spans="2:55" ht="39.6" x14ac:dyDescent="0.3">
      <c r="B40" s="5" t="s">
        <v>29</v>
      </c>
      <c r="C40" s="15" t="s">
        <v>181</v>
      </c>
      <c r="D40" s="5" t="s">
        <v>182</v>
      </c>
      <c r="E40" s="5" t="s">
        <v>183</v>
      </c>
      <c r="F40" s="5" t="s">
        <v>72</v>
      </c>
      <c r="G40" s="5">
        <v>20</v>
      </c>
      <c r="H40" s="5">
        <v>550</v>
      </c>
      <c r="I40" s="5">
        <v>50</v>
      </c>
      <c r="J40" s="5">
        <v>27500</v>
      </c>
      <c r="K40" s="5">
        <v>2</v>
      </c>
      <c r="L40" s="5">
        <v>1</v>
      </c>
      <c r="M40" s="5">
        <v>1</v>
      </c>
      <c r="N40" s="5">
        <v>97</v>
      </c>
      <c r="O40" s="5">
        <v>30</v>
      </c>
      <c r="P40" s="5" t="s">
        <v>107</v>
      </c>
      <c r="Q40" s="5">
        <v>8</v>
      </c>
      <c r="R40" s="5">
        <v>9.5</v>
      </c>
      <c r="S40" s="5" t="s">
        <v>67</v>
      </c>
      <c r="T40" s="5">
        <v>8</v>
      </c>
      <c r="U40" s="5" t="s">
        <v>53</v>
      </c>
      <c r="V40" s="5" t="s">
        <v>54</v>
      </c>
      <c r="W40" s="5">
        <v>1</v>
      </c>
      <c r="X40" s="5" t="s">
        <v>38</v>
      </c>
      <c r="Y40" s="5">
        <v>10</v>
      </c>
      <c r="Z40" s="5">
        <v>8.8000000000000007</v>
      </c>
      <c r="AA40" s="5" t="s">
        <v>134</v>
      </c>
      <c r="AB40" s="5" t="s">
        <v>38</v>
      </c>
      <c r="AC40" s="5" t="s">
        <v>38</v>
      </c>
      <c r="AD40" s="5"/>
      <c r="AF40" s="15" t="s">
        <v>181</v>
      </c>
      <c r="AG40" s="15" t="s">
        <v>183</v>
      </c>
      <c r="AH40">
        <f t="shared" ref="AH40:AH51" si="28">100-((H40-MIN($H$40:$H$51))/(MAX($H$40:$H$51)-MIN($H$40:$H$51))*100)</f>
        <v>59.633027522935777</v>
      </c>
      <c r="AI40">
        <f t="shared" si="4"/>
        <v>80</v>
      </c>
      <c r="AJ40" s="12">
        <f t="shared" si="5"/>
        <v>80</v>
      </c>
      <c r="AK40">
        <f t="shared" si="6"/>
        <v>97</v>
      </c>
      <c r="AL40">
        <f t="shared" si="1"/>
        <v>90</v>
      </c>
      <c r="AM40">
        <f t="shared" si="7"/>
        <v>96</v>
      </c>
      <c r="AN40">
        <f t="shared" si="2"/>
        <v>99.990199980399964</v>
      </c>
      <c r="AO40">
        <f t="shared" si="8"/>
        <v>88</v>
      </c>
      <c r="AP40">
        <f t="shared" si="9"/>
        <v>80.017962880145944</v>
      </c>
      <c r="AQ40">
        <f>RANK(AP40, $AP$40:$AP$51, 0)</f>
        <v>5</v>
      </c>
      <c r="AR40" t="str">
        <f t="shared" si="11"/>
        <v>SEED-001</v>
      </c>
      <c r="AS40" s="15" t="s">
        <v>181</v>
      </c>
      <c r="AT40" s="15" t="s">
        <v>183</v>
      </c>
      <c r="AU40">
        <f t="shared" ref="AU40:AU51" si="29">100-((H40-MIN($H$40:$H$51))/(MAX($H$40:$H$51)-MIN($H$40:$H$51))*100)</f>
        <v>59.633027522935777</v>
      </c>
      <c r="AV40">
        <f t="shared" si="13"/>
        <v>90</v>
      </c>
      <c r="AW40">
        <f t="shared" si="14"/>
        <v>97</v>
      </c>
      <c r="AX40">
        <f t="shared" si="15"/>
        <v>80</v>
      </c>
      <c r="AY40">
        <f t="shared" si="3"/>
        <v>99.990199980399964</v>
      </c>
      <c r="AZ40">
        <f t="shared" si="16"/>
        <v>96</v>
      </c>
      <c r="BA40">
        <f t="shared" si="17"/>
        <v>81.589418255900725</v>
      </c>
      <c r="BB40">
        <f>RANK(BA40, $BA$40:$BA$51, 0)</f>
        <v>5</v>
      </c>
      <c r="BC40" t="str">
        <f t="shared" si="19"/>
        <v>SEED-001</v>
      </c>
    </row>
    <row r="41" spans="2:55" ht="39.6" x14ac:dyDescent="0.3">
      <c r="B41" s="5" t="s">
        <v>29</v>
      </c>
      <c r="C41" s="15" t="s">
        <v>181</v>
      </c>
      <c r="D41" s="5" t="s">
        <v>184</v>
      </c>
      <c r="E41" s="5" t="s">
        <v>185</v>
      </c>
      <c r="F41" s="5" t="s">
        <v>43</v>
      </c>
      <c r="G41" s="5">
        <v>250</v>
      </c>
      <c r="H41" s="5">
        <v>850</v>
      </c>
      <c r="I41" s="5">
        <v>100</v>
      </c>
      <c r="J41" s="5">
        <v>85000</v>
      </c>
      <c r="K41" s="5">
        <v>3</v>
      </c>
      <c r="L41" s="5">
        <v>1</v>
      </c>
      <c r="M41" s="5">
        <v>0.8</v>
      </c>
      <c r="N41" s="5">
        <v>96</v>
      </c>
      <c r="O41" s="5">
        <v>45</v>
      </c>
      <c r="P41" s="5" t="s">
        <v>60</v>
      </c>
      <c r="Q41" s="5">
        <v>8.5</v>
      </c>
      <c r="R41" s="5">
        <v>9</v>
      </c>
      <c r="S41" s="5" t="s">
        <v>74</v>
      </c>
      <c r="T41" s="5">
        <v>8.5</v>
      </c>
      <c r="U41" s="5" t="s">
        <v>36</v>
      </c>
      <c r="V41" s="5" t="s">
        <v>46</v>
      </c>
      <c r="W41" s="5">
        <v>2</v>
      </c>
      <c r="X41" s="5" t="s">
        <v>38</v>
      </c>
      <c r="Y41" s="5">
        <v>15</v>
      </c>
      <c r="Z41" s="5">
        <v>9</v>
      </c>
      <c r="AA41" s="5" t="s">
        <v>186</v>
      </c>
      <c r="AB41" s="5" t="s">
        <v>38</v>
      </c>
      <c r="AC41" s="5" t="s">
        <v>38</v>
      </c>
      <c r="AD41" s="5"/>
      <c r="AF41" s="15" t="s">
        <v>181</v>
      </c>
      <c r="AG41" s="15" t="s">
        <v>185</v>
      </c>
      <c r="AH41">
        <f t="shared" si="28"/>
        <v>32.110091743119256</v>
      </c>
      <c r="AI41">
        <f t="shared" si="4"/>
        <v>85</v>
      </c>
      <c r="AJ41" s="12">
        <f t="shared" si="5"/>
        <v>84</v>
      </c>
      <c r="AK41">
        <f t="shared" si="6"/>
        <v>96</v>
      </c>
      <c r="AL41">
        <f t="shared" si="1"/>
        <v>85</v>
      </c>
      <c r="AM41">
        <f t="shared" si="7"/>
        <v>50</v>
      </c>
      <c r="AN41">
        <f t="shared" si="2"/>
        <v>99.980199960399915</v>
      </c>
      <c r="AO41">
        <f t="shared" si="8"/>
        <v>90</v>
      </c>
      <c r="AP41">
        <f t="shared" si="9"/>
        <v>72.076928934591805</v>
      </c>
      <c r="AQ41">
        <f t="shared" ref="AQ41:AQ51" si="30">RANK(AP41, $AP$40:$AP$51, 0)</f>
        <v>7</v>
      </c>
      <c r="AR41" t="str">
        <f t="shared" si="11"/>
        <v>SEED-002</v>
      </c>
      <c r="AS41" s="15" t="s">
        <v>181</v>
      </c>
      <c r="AT41" s="15" t="s">
        <v>185</v>
      </c>
      <c r="AU41">
        <f t="shared" si="29"/>
        <v>32.110091743119256</v>
      </c>
      <c r="AV41">
        <f t="shared" si="13"/>
        <v>85</v>
      </c>
      <c r="AW41">
        <f t="shared" si="14"/>
        <v>96</v>
      </c>
      <c r="AX41">
        <f t="shared" si="15"/>
        <v>85</v>
      </c>
      <c r="AY41">
        <f t="shared" si="3"/>
        <v>99.980199960399915</v>
      </c>
      <c r="AZ41">
        <f t="shared" si="16"/>
        <v>50</v>
      </c>
      <c r="BA41">
        <f t="shared" si="17"/>
        <v>70.33203752095578</v>
      </c>
      <c r="BB41">
        <f t="shared" ref="BB41:BB51" si="31">RANK(BA41, $BA$40:$BA$51, 0)</f>
        <v>7</v>
      </c>
      <c r="BC41" t="str">
        <f t="shared" si="19"/>
        <v>SEED-002</v>
      </c>
    </row>
    <row r="42" spans="2:55" ht="39.6" x14ac:dyDescent="0.3">
      <c r="B42" s="5" t="s">
        <v>29</v>
      </c>
      <c r="C42" s="15" t="s">
        <v>181</v>
      </c>
      <c r="D42" s="5" t="s">
        <v>187</v>
      </c>
      <c r="E42" s="5" t="s">
        <v>188</v>
      </c>
      <c r="F42" s="5" t="s">
        <v>50</v>
      </c>
      <c r="G42" s="5">
        <v>150</v>
      </c>
      <c r="H42" s="5">
        <v>780</v>
      </c>
      <c r="I42" s="5">
        <v>200</v>
      </c>
      <c r="J42" s="5">
        <v>156000</v>
      </c>
      <c r="K42" s="5">
        <v>7</v>
      </c>
      <c r="L42" s="5">
        <v>3</v>
      </c>
      <c r="M42" s="5">
        <v>1.2</v>
      </c>
      <c r="N42" s="5">
        <v>92</v>
      </c>
      <c r="O42" s="5">
        <v>60</v>
      </c>
      <c r="P42" s="5" t="s">
        <v>34</v>
      </c>
      <c r="Q42" s="5">
        <v>7.8</v>
      </c>
      <c r="R42" s="5">
        <v>8.5</v>
      </c>
      <c r="S42" s="5" t="s">
        <v>45</v>
      </c>
      <c r="T42" s="5">
        <v>7.5</v>
      </c>
      <c r="U42" s="5" t="s">
        <v>53</v>
      </c>
      <c r="V42" s="5" t="s">
        <v>37</v>
      </c>
      <c r="W42" s="5">
        <v>3</v>
      </c>
      <c r="X42" s="5" t="s">
        <v>38</v>
      </c>
      <c r="Y42" s="5">
        <v>25</v>
      </c>
      <c r="Z42" s="5">
        <v>7.8</v>
      </c>
      <c r="AA42" s="5" t="s">
        <v>189</v>
      </c>
      <c r="AB42" s="5" t="s">
        <v>38</v>
      </c>
      <c r="AC42" s="5" t="s">
        <v>38</v>
      </c>
      <c r="AD42" s="5"/>
      <c r="AF42" s="15" t="s">
        <v>181</v>
      </c>
      <c r="AG42" s="15" t="s">
        <v>188</v>
      </c>
      <c r="AH42">
        <f t="shared" si="28"/>
        <v>38.532110091743121</v>
      </c>
      <c r="AI42">
        <f t="shared" si="4"/>
        <v>78</v>
      </c>
      <c r="AJ42" s="12">
        <f t="shared" si="5"/>
        <v>76</v>
      </c>
      <c r="AK42">
        <f t="shared" si="6"/>
        <v>92</v>
      </c>
      <c r="AL42">
        <f t="shared" si="1"/>
        <v>65</v>
      </c>
      <c r="AM42">
        <f t="shared" si="7"/>
        <v>70</v>
      </c>
      <c r="AN42">
        <f t="shared" si="2"/>
        <v>99.960199920399845</v>
      </c>
      <c r="AO42">
        <f t="shared" si="8"/>
        <v>78</v>
      </c>
      <c r="AP42">
        <f t="shared" si="9"/>
        <v>68.891833520547777</v>
      </c>
      <c r="AQ42">
        <f t="shared" si="30"/>
        <v>8</v>
      </c>
      <c r="AR42" t="str">
        <f t="shared" si="11"/>
        <v>SEED-003</v>
      </c>
      <c r="AS42" s="15" t="s">
        <v>181</v>
      </c>
      <c r="AT42" s="15" t="s">
        <v>188</v>
      </c>
      <c r="AU42">
        <f t="shared" si="29"/>
        <v>38.532110091743121</v>
      </c>
      <c r="AV42">
        <f t="shared" si="13"/>
        <v>65</v>
      </c>
      <c r="AW42">
        <f t="shared" si="14"/>
        <v>92</v>
      </c>
      <c r="AX42">
        <f t="shared" si="15"/>
        <v>78</v>
      </c>
      <c r="AY42">
        <f t="shared" si="3"/>
        <v>99.960199920399845</v>
      </c>
      <c r="AZ42">
        <f t="shared" si="16"/>
        <v>70</v>
      </c>
      <c r="BA42">
        <f t="shared" si="17"/>
        <v>66.407643023542931</v>
      </c>
      <c r="BB42">
        <f t="shared" si="31"/>
        <v>8</v>
      </c>
      <c r="BC42" t="str">
        <f t="shared" si="19"/>
        <v>SEED-003</v>
      </c>
    </row>
    <row r="43" spans="2:55" ht="39.6" x14ac:dyDescent="0.3">
      <c r="B43" s="5" t="s">
        <v>29</v>
      </c>
      <c r="C43" s="15" t="s">
        <v>181</v>
      </c>
      <c r="D43" s="5" t="s">
        <v>190</v>
      </c>
      <c r="E43" s="5" t="s">
        <v>191</v>
      </c>
      <c r="F43" s="5" t="s">
        <v>33</v>
      </c>
      <c r="G43" s="5">
        <v>65</v>
      </c>
      <c r="H43" s="5">
        <v>120</v>
      </c>
      <c r="I43" s="5">
        <v>500</v>
      </c>
      <c r="J43" s="5">
        <v>60000</v>
      </c>
      <c r="K43" s="5">
        <v>4</v>
      </c>
      <c r="L43" s="5">
        <v>2</v>
      </c>
      <c r="M43" s="5">
        <v>1.5</v>
      </c>
      <c r="N43" s="5">
        <v>95</v>
      </c>
      <c r="O43" s="5">
        <v>30</v>
      </c>
      <c r="P43" s="5" t="s">
        <v>44</v>
      </c>
      <c r="Q43" s="5">
        <v>7.5</v>
      </c>
      <c r="R43" s="5">
        <v>9</v>
      </c>
      <c r="S43" s="5" t="s">
        <v>67</v>
      </c>
      <c r="T43" s="5">
        <v>8</v>
      </c>
      <c r="U43" s="5" t="s">
        <v>53</v>
      </c>
      <c r="V43" s="5" t="s">
        <v>54</v>
      </c>
      <c r="W43" s="5">
        <v>2</v>
      </c>
      <c r="X43" s="5" t="s">
        <v>38</v>
      </c>
      <c r="Y43" s="5">
        <v>20</v>
      </c>
      <c r="Z43" s="5">
        <v>8.5</v>
      </c>
      <c r="AA43" s="5" t="s">
        <v>192</v>
      </c>
      <c r="AB43" s="5" t="s">
        <v>38</v>
      </c>
      <c r="AC43" s="5" t="s">
        <v>38</v>
      </c>
      <c r="AD43" s="5"/>
      <c r="AF43" s="15" t="s">
        <v>181</v>
      </c>
      <c r="AG43" s="15" t="s">
        <v>191</v>
      </c>
      <c r="AH43">
        <f t="shared" si="28"/>
        <v>99.082568807339456</v>
      </c>
      <c r="AI43">
        <f t="shared" si="4"/>
        <v>75</v>
      </c>
      <c r="AJ43" s="12">
        <f t="shared" si="5"/>
        <v>70</v>
      </c>
      <c r="AK43">
        <f t="shared" si="6"/>
        <v>95</v>
      </c>
      <c r="AL43">
        <f t="shared" si="1"/>
        <v>80</v>
      </c>
      <c r="AM43">
        <f t="shared" si="7"/>
        <v>87</v>
      </c>
      <c r="AN43">
        <f t="shared" si="2"/>
        <v>99.900199800399605</v>
      </c>
      <c r="AO43">
        <f t="shared" si="8"/>
        <v>85</v>
      </c>
      <c r="AP43">
        <f t="shared" si="9"/>
        <v>85.317648195846843</v>
      </c>
      <c r="AQ43">
        <f t="shared" si="30"/>
        <v>3</v>
      </c>
      <c r="AR43" t="str">
        <f t="shared" si="11"/>
        <v>SEED-004</v>
      </c>
      <c r="AS43" s="15" t="s">
        <v>181</v>
      </c>
      <c r="AT43" s="15" t="s">
        <v>191</v>
      </c>
      <c r="AU43">
        <f t="shared" si="29"/>
        <v>99.082568807339456</v>
      </c>
      <c r="AV43">
        <f t="shared" si="13"/>
        <v>80</v>
      </c>
      <c r="AW43">
        <f t="shared" si="14"/>
        <v>95</v>
      </c>
      <c r="AX43">
        <f t="shared" si="15"/>
        <v>75</v>
      </c>
      <c r="AY43">
        <f t="shared" si="3"/>
        <v>99.900199800399605</v>
      </c>
      <c r="AZ43">
        <f t="shared" si="16"/>
        <v>87</v>
      </c>
      <c r="BA43">
        <f t="shared" si="17"/>
        <v>89.319780632221807</v>
      </c>
      <c r="BB43">
        <f t="shared" si="31"/>
        <v>2</v>
      </c>
      <c r="BC43" t="str">
        <f t="shared" si="19"/>
        <v>SEED-004</v>
      </c>
    </row>
    <row r="44" spans="2:55" ht="39.6" x14ac:dyDescent="0.3">
      <c r="B44" s="5" t="s">
        <v>29</v>
      </c>
      <c r="C44" s="15" t="s">
        <v>181</v>
      </c>
      <c r="D44" s="5" t="s">
        <v>193</v>
      </c>
      <c r="E44" s="5" t="s">
        <v>194</v>
      </c>
      <c r="F44" s="5" t="s">
        <v>59</v>
      </c>
      <c r="G44" s="5">
        <v>200</v>
      </c>
      <c r="H44" s="5">
        <v>320</v>
      </c>
      <c r="I44" s="5">
        <v>100</v>
      </c>
      <c r="J44" s="5">
        <v>32000</v>
      </c>
      <c r="K44" s="5">
        <v>5</v>
      </c>
      <c r="L44" s="5">
        <v>2</v>
      </c>
      <c r="M44" s="5">
        <v>0.5</v>
      </c>
      <c r="N44" s="5">
        <v>97</v>
      </c>
      <c r="O44" s="5">
        <v>30</v>
      </c>
      <c r="P44" s="5" t="s">
        <v>60</v>
      </c>
      <c r="Q44" s="5">
        <v>9</v>
      </c>
      <c r="R44" s="5">
        <v>8.8000000000000007</v>
      </c>
      <c r="S44" s="5" t="s">
        <v>195</v>
      </c>
      <c r="T44" s="5">
        <v>9.5</v>
      </c>
      <c r="U44" s="5" t="s">
        <v>53</v>
      </c>
      <c r="V44" s="5" t="s">
        <v>54</v>
      </c>
      <c r="W44" s="5">
        <v>2</v>
      </c>
      <c r="X44" s="5" t="s">
        <v>38</v>
      </c>
      <c r="Y44" s="5">
        <v>12</v>
      </c>
      <c r="Z44" s="5">
        <v>8.8000000000000007</v>
      </c>
      <c r="AA44" s="5" t="s">
        <v>196</v>
      </c>
      <c r="AB44" s="5" t="s">
        <v>68</v>
      </c>
      <c r="AC44" s="5" t="s">
        <v>68</v>
      </c>
      <c r="AD44" s="5"/>
      <c r="AF44" s="15" t="s">
        <v>181</v>
      </c>
      <c r="AG44" s="15" t="s">
        <v>194</v>
      </c>
      <c r="AH44">
        <f t="shared" si="28"/>
        <v>80.733944954128447</v>
      </c>
      <c r="AI44">
        <f t="shared" si="4"/>
        <v>90</v>
      </c>
      <c r="AJ44" s="12">
        <f t="shared" si="5"/>
        <v>90</v>
      </c>
      <c r="AK44">
        <f t="shared" si="6"/>
        <v>97</v>
      </c>
      <c r="AL44">
        <f t="shared" si="1"/>
        <v>75</v>
      </c>
      <c r="AM44">
        <f t="shared" si="7"/>
        <v>60</v>
      </c>
      <c r="AN44">
        <f t="shared" si="2"/>
        <v>99.980199960399915</v>
      </c>
      <c r="AO44">
        <f t="shared" si="8"/>
        <v>88</v>
      </c>
      <c r="AP44">
        <f t="shared" si="9"/>
        <v>85.992892237344108</v>
      </c>
      <c r="AQ44">
        <f t="shared" si="30"/>
        <v>2</v>
      </c>
      <c r="AR44" t="str">
        <f t="shared" si="11"/>
        <v>SEED-005</v>
      </c>
      <c r="AS44" s="15" t="s">
        <v>181</v>
      </c>
      <c r="AT44" s="15" t="s">
        <v>194</v>
      </c>
      <c r="AU44">
        <f t="shared" si="29"/>
        <v>80.733944954128447</v>
      </c>
      <c r="AV44">
        <f t="shared" si="13"/>
        <v>75</v>
      </c>
      <c r="AW44">
        <f t="shared" si="14"/>
        <v>97</v>
      </c>
      <c r="AX44">
        <f t="shared" si="15"/>
        <v>90</v>
      </c>
      <c r="AY44">
        <f t="shared" si="3"/>
        <v>99.980199960399915</v>
      </c>
      <c r="AZ44">
        <f t="shared" si="16"/>
        <v>60</v>
      </c>
      <c r="BA44">
        <f t="shared" si="17"/>
        <v>83.869193484258531</v>
      </c>
      <c r="BB44">
        <f t="shared" si="31"/>
        <v>4</v>
      </c>
      <c r="BC44" t="str">
        <f t="shared" si="19"/>
        <v>SEED-005</v>
      </c>
    </row>
    <row r="45" spans="2:55" ht="39.6" x14ac:dyDescent="0.3">
      <c r="B45" s="5" t="s">
        <v>29</v>
      </c>
      <c r="C45" s="15" t="s">
        <v>181</v>
      </c>
      <c r="D45" s="5" t="s">
        <v>197</v>
      </c>
      <c r="E45" s="5" t="s">
        <v>198</v>
      </c>
      <c r="F45" s="5" t="s">
        <v>50</v>
      </c>
      <c r="G45" s="5">
        <v>150</v>
      </c>
      <c r="H45" s="5">
        <v>920</v>
      </c>
      <c r="I45" s="5">
        <v>500</v>
      </c>
      <c r="J45" s="5">
        <v>460000</v>
      </c>
      <c r="K45" s="5">
        <v>14</v>
      </c>
      <c r="L45" s="5">
        <v>7</v>
      </c>
      <c r="M45" s="5">
        <v>0.3</v>
      </c>
      <c r="N45" s="5">
        <v>90</v>
      </c>
      <c r="O45" s="5" t="s">
        <v>154</v>
      </c>
      <c r="P45" s="5" t="s">
        <v>94</v>
      </c>
      <c r="Q45" s="5">
        <v>9.5</v>
      </c>
      <c r="R45" s="5">
        <v>8</v>
      </c>
      <c r="S45" s="5" t="s">
        <v>160</v>
      </c>
      <c r="T45" s="5">
        <v>9.1999999999999993</v>
      </c>
      <c r="U45" s="5" t="s">
        <v>36</v>
      </c>
      <c r="V45" s="5" t="s">
        <v>37</v>
      </c>
      <c r="W45" s="5">
        <v>1</v>
      </c>
      <c r="X45" s="5" t="s">
        <v>68</v>
      </c>
      <c r="Y45" s="5">
        <v>30</v>
      </c>
      <c r="Z45" s="5">
        <v>7.5</v>
      </c>
      <c r="AA45" s="5" t="s">
        <v>186</v>
      </c>
      <c r="AB45" s="5" t="s">
        <v>38</v>
      </c>
      <c r="AC45" s="5" t="s">
        <v>38</v>
      </c>
      <c r="AD45" s="5"/>
      <c r="AF45" s="15" t="s">
        <v>181</v>
      </c>
      <c r="AG45" s="15" t="s">
        <v>198</v>
      </c>
      <c r="AH45">
        <f t="shared" si="28"/>
        <v>25.688073394495419</v>
      </c>
      <c r="AI45">
        <f t="shared" si="4"/>
        <v>95</v>
      </c>
      <c r="AJ45" s="12">
        <f t="shared" si="5"/>
        <v>94</v>
      </c>
      <c r="AK45">
        <f t="shared" si="6"/>
        <v>90</v>
      </c>
      <c r="AL45">
        <f t="shared" si="1"/>
        <v>30</v>
      </c>
      <c r="AM45">
        <f t="shared" si="7"/>
        <v>70</v>
      </c>
      <c r="AN45">
        <f t="shared" si="2"/>
        <v>99.900199800399605</v>
      </c>
      <c r="AO45">
        <f t="shared" si="8"/>
        <v>75</v>
      </c>
      <c r="AP45">
        <f t="shared" si="9"/>
        <v>68.769024342635831</v>
      </c>
      <c r="AQ45">
        <f t="shared" si="30"/>
        <v>9</v>
      </c>
      <c r="AR45" t="str">
        <f t="shared" si="11"/>
        <v>SEED-006</v>
      </c>
      <c r="AS45" s="15" t="s">
        <v>181</v>
      </c>
      <c r="AT45" s="15" t="s">
        <v>198</v>
      </c>
      <c r="AU45">
        <f t="shared" si="29"/>
        <v>25.688073394495419</v>
      </c>
      <c r="AV45">
        <f t="shared" si="13"/>
        <v>30</v>
      </c>
      <c r="AW45">
        <f t="shared" si="14"/>
        <v>90</v>
      </c>
      <c r="AX45">
        <f t="shared" si="15"/>
        <v>95</v>
      </c>
      <c r="AY45">
        <f t="shared" si="3"/>
        <v>99.900199800399605</v>
      </c>
      <c r="AZ45">
        <f t="shared" si="16"/>
        <v>70</v>
      </c>
      <c r="BA45">
        <f t="shared" si="17"/>
        <v>55.951432008368606</v>
      </c>
      <c r="BB45">
        <f t="shared" si="31"/>
        <v>12</v>
      </c>
      <c r="BC45" t="str">
        <f t="shared" si="19"/>
        <v>SEED-006</v>
      </c>
    </row>
    <row r="46" spans="2:55" ht="39.6" x14ac:dyDescent="0.3">
      <c r="B46" s="5" t="s">
        <v>29</v>
      </c>
      <c r="C46" s="15" t="s">
        <v>181</v>
      </c>
      <c r="D46" s="5" t="s">
        <v>199</v>
      </c>
      <c r="E46" s="5" t="s">
        <v>200</v>
      </c>
      <c r="F46" s="5" t="s">
        <v>84</v>
      </c>
      <c r="G46" s="5">
        <v>150</v>
      </c>
      <c r="H46" s="5">
        <v>650</v>
      </c>
      <c r="I46" s="5">
        <v>150</v>
      </c>
      <c r="J46" s="5">
        <v>97500</v>
      </c>
      <c r="K46" s="5">
        <v>3</v>
      </c>
      <c r="L46" s="5">
        <v>1</v>
      </c>
      <c r="M46" s="5">
        <v>0.7</v>
      </c>
      <c r="N46" s="5">
        <v>96</v>
      </c>
      <c r="O46" s="5">
        <v>45</v>
      </c>
      <c r="P46" s="5" t="s">
        <v>85</v>
      </c>
      <c r="Q46" s="5">
        <v>8.8000000000000007</v>
      </c>
      <c r="R46" s="5">
        <v>8.9</v>
      </c>
      <c r="S46" s="5" t="s">
        <v>74</v>
      </c>
      <c r="T46" s="5">
        <v>8.8000000000000007</v>
      </c>
      <c r="U46" s="5" t="s">
        <v>36</v>
      </c>
      <c r="V46" s="5" t="s">
        <v>46</v>
      </c>
      <c r="W46" s="5">
        <v>2</v>
      </c>
      <c r="X46" s="5" t="s">
        <v>38</v>
      </c>
      <c r="Y46" s="5">
        <v>15</v>
      </c>
      <c r="Z46" s="5">
        <v>9</v>
      </c>
      <c r="AA46" s="5" t="s">
        <v>134</v>
      </c>
      <c r="AB46" s="5" t="s">
        <v>38</v>
      </c>
      <c r="AC46" s="5" t="s">
        <v>38</v>
      </c>
      <c r="AD46" s="5"/>
      <c r="AF46" s="15" t="s">
        <v>181</v>
      </c>
      <c r="AG46" s="15" t="s">
        <v>200</v>
      </c>
      <c r="AH46">
        <f t="shared" si="28"/>
        <v>50.458715596330272</v>
      </c>
      <c r="AI46">
        <f t="shared" si="4"/>
        <v>88</v>
      </c>
      <c r="AJ46" s="12">
        <f t="shared" si="5"/>
        <v>86</v>
      </c>
      <c r="AK46">
        <f t="shared" si="6"/>
        <v>96</v>
      </c>
      <c r="AL46">
        <f t="shared" si="1"/>
        <v>85</v>
      </c>
      <c r="AM46">
        <f t="shared" si="7"/>
        <v>70</v>
      </c>
      <c r="AN46">
        <f t="shared" si="2"/>
        <v>99.97019994039988</v>
      </c>
      <c r="AO46">
        <f t="shared" si="8"/>
        <v>90</v>
      </c>
      <c r="AP46">
        <f t="shared" si="9"/>
        <v>78.713784897294559</v>
      </c>
      <c r="AQ46">
        <f t="shared" si="30"/>
        <v>6</v>
      </c>
      <c r="AR46" t="str">
        <f t="shared" si="11"/>
        <v>SEED-007</v>
      </c>
      <c r="AS46" s="15" t="s">
        <v>181</v>
      </c>
      <c r="AT46" s="15" t="s">
        <v>200</v>
      </c>
      <c r="AU46">
        <f t="shared" si="29"/>
        <v>50.458715596330272</v>
      </c>
      <c r="AV46">
        <f t="shared" si="13"/>
        <v>85</v>
      </c>
      <c r="AW46">
        <f t="shared" si="14"/>
        <v>96</v>
      </c>
      <c r="AX46">
        <f t="shared" si="15"/>
        <v>88</v>
      </c>
      <c r="AY46">
        <f t="shared" si="3"/>
        <v>99.97019994039988</v>
      </c>
      <c r="AZ46">
        <f t="shared" si="16"/>
        <v>70</v>
      </c>
      <c r="BA46">
        <f t="shared" si="17"/>
        <v>77.286124675919083</v>
      </c>
      <c r="BB46">
        <f t="shared" si="31"/>
        <v>6</v>
      </c>
      <c r="BC46" t="str">
        <f t="shared" si="19"/>
        <v>SEED-007</v>
      </c>
    </row>
    <row r="47" spans="2:55" ht="39.6" x14ac:dyDescent="0.3">
      <c r="B47" s="5" t="s">
        <v>29</v>
      </c>
      <c r="C47" s="15" t="s">
        <v>181</v>
      </c>
      <c r="D47" s="5" t="s">
        <v>201</v>
      </c>
      <c r="E47" s="5" t="s">
        <v>202</v>
      </c>
      <c r="F47" s="5" t="s">
        <v>72</v>
      </c>
      <c r="G47" s="5">
        <v>15</v>
      </c>
      <c r="H47" s="5">
        <v>180</v>
      </c>
      <c r="I47" s="5">
        <v>200</v>
      </c>
      <c r="J47" s="5">
        <v>36000</v>
      </c>
      <c r="K47" s="5">
        <v>2</v>
      </c>
      <c r="L47" s="5">
        <v>1</v>
      </c>
      <c r="M47" s="5">
        <v>1</v>
      </c>
      <c r="N47" s="5">
        <v>98</v>
      </c>
      <c r="O47" s="5">
        <v>30</v>
      </c>
      <c r="P47" s="5" t="s">
        <v>34</v>
      </c>
      <c r="Q47" s="5">
        <v>8</v>
      </c>
      <c r="R47" s="5">
        <v>9.4</v>
      </c>
      <c r="S47" s="5" t="s">
        <v>67</v>
      </c>
      <c r="T47" s="5">
        <v>8.1999999999999993</v>
      </c>
      <c r="U47" s="5" t="s">
        <v>53</v>
      </c>
      <c r="V47" s="5" t="s">
        <v>54</v>
      </c>
      <c r="W47" s="5">
        <v>1</v>
      </c>
      <c r="X47" s="5" t="s">
        <v>38</v>
      </c>
      <c r="Y47" s="5">
        <v>10</v>
      </c>
      <c r="Z47" s="5">
        <v>8.6999999999999993</v>
      </c>
      <c r="AA47" s="5" t="s">
        <v>203</v>
      </c>
      <c r="AB47" s="5" t="s">
        <v>38</v>
      </c>
      <c r="AC47" s="5" t="s">
        <v>38</v>
      </c>
      <c r="AD47" s="5"/>
      <c r="AF47" s="15" t="s">
        <v>181</v>
      </c>
      <c r="AG47" s="15" t="s">
        <v>202</v>
      </c>
      <c r="AH47">
        <f t="shared" si="28"/>
        <v>93.577981651376149</v>
      </c>
      <c r="AI47">
        <f t="shared" si="4"/>
        <v>80</v>
      </c>
      <c r="AJ47" s="12">
        <f t="shared" si="5"/>
        <v>80</v>
      </c>
      <c r="AK47">
        <f t="shared" si="6"/>
        <v>98</v>
      </c>
      <c r="AL47">
        <f t="shared" si="1"/>
        <v>90</v>
      </c>
      <c r="AM47">
        <f t="shared" si="7"/>
        <v>97</v>
      </c>
      <c r="AN47">
        <f t="shared" si="2"/>
        <v>99.960199920399845</v>
      </c>
      <c r="AO47">
        <f t="shared" si="8"/>
        <v>87</v>
      </c>
      <c r="AP47">
        <f t="shared" si="9"/>
        <v>88.683301410456025</v>
      </c>
      <c r="AQ47">
        <f t="shared" si="30"/>
        <v>1</v>
      </c>
      <c r="AR47" t="str">
        <f t="shared" si="11"/>
        <v>SEED-008</v>
      </c>
      <c r="AS47" s="15" t="s">
        <v>181</v>
      </c>
      <c r="AT47" s="15" t="s">
        <v>202</v>
      </c>
      <c r="AU47">
        <f t="shared" si="29"/>
        <v>93.577981651376149</v>
      </c>
      <c r="AV47">
        <f t="shared" si="13"/>
        <v>90</v>
      </c>
      <c r="AW47">
        <f t="shared" si="14"/>
        <v>98</v>
      </c>
      <c r="AX47">
        <f t="shared" si="15"/>
        <v>80</v>
      </c>
      <c r="AY47">
        <f t="shared" si="3"/>
        <v>99.960199920399845</v>
      </c>
      <c r="AZ47">
        <f t="shared" si="16"/>
        <v>97</v>
      </c>
      <c r="BA47">
        <f t="shared" si="17"/>
        <v>92.021404491432833</v>
      </c>
      <c r="BB47">
        <f t="shared" si="31"/>
        <v>1</v>
      </c>
      <c r="BC47" t="str">
        <f t="shared" si="19"/>
        <v>SEED-008</v>
      </c>
    </row>
    <row r="48" spans="2:55" ht="39.6" x14ac:dyDescent="0.3">
      <c r="B48" s="5" t="s">
        <v>29</v>
      </c>
      <c r="C48" s="15" t="s">
        <v>181</v>
      </c>
      <c r="D48" s="5" t="s">
        <v>204</v>
      </c>
      <c r="E48" s="5" t="s">
        <v>205</v>
      </c>
      <c r="F48" s="5" t="s">
        <v>50</v>
      </c>
      <c r="G48" s="5">
        <v>150</v>
      </c>
      <c r="H48" s="5">
        <v>950</v>
      </c>
      <c r="I48" s="5">
        <v>300</v>
      </c>
      <c r="J48" s="5">
        <v>285000</v>
      </c>
      <c r="K48" s="5">
        <v>10</v>
      </c>
      <c r="L48" s="5">
        <v>5</v>
      </c>
      <c r="M48" s="5">
        <v>0.9</v>
      </c>
      <c r="N48" s="5">
        <v>91</v>
      </c>
      <c r="O48" s="5">
        <v>60</v>
      </c>
      <c r="P48" s="5" t="s">
        <v>44</v>
      </c>
      <c r="Q48" s="5">
        <v>8.5</v>
      </c>
      <c r="R48" s="5">
        <v>8.1999999999999993</v>
      </c>
      <c r="S48" s="5" t="s">
        <v>206</v>
      </c>
      <c r="T48" s="5">
        <v>8.5</v>
      </c>
      <c r="U48" s="5" t="s">
        <v>53</v>
      </c>
      <c r="V48" s="5" t="s">
        <v>37</v>
      </c>
      <c r="W48" s="5">
        <v>2</v>
      </c>
      <c r="X48" s="5" t="s">
        <v>38</v>
      </c>
      <c r="Y48" s="5">
        <v>25</v>
      </c>
      <c r="Z48" s="5">
        <v>8</v>
      </c>
      <c r="AA48" s="5" t="s">
        <v>207</v>
      </c>
      <c r="AB48" s="5" t="s">
        <v>38</v>
      </c>
      <c r="AC48" s="5" t="s">
        <v>68</v>
      </c>
      <c r="AD48" s="5"/>
      <c r="AF48" s="15" t="s">
        <v>181</v>
      </c>
      <c r="AG48" s="15" t="s">
        <v>205</v>
      </c>
      <c r="AH48">
        <f t="shared" si="28"/>
        <v>22.935779816513758</v>
      </c>
      <c r="AI48">
        <f t="shared" si="4"/>
        <v>85</v>
      </c>
      <c r="AJ48" s="12">
        <f t="shared" si="5"/>
        <v>82</v>
      </c>
      <c r="AK48">
        <f t="shared" si="6"/>
        <v>91</v>
      </c>
      <c r="AL48">
        <f t="shared" si="1"/>
        <v>50</v>
      </c>
      <c r="AM48">
        <f t="shared" si="7"/>
        <v>70</v>
      </c>
      <c r="AN48">
        <f t="shared" si="2"/>
        <v>99.94019988039976</v>
      </c>
      <c r="AO48">
        <f t="shared" si="8"/>
        <v>80</v>
      </c>
      <c r="AP48">
        <f t="shared" si="9"/>
        <v>66.032150950540426</v>
      </c>
      <c r="AQ48">
        <f t="shared" si="30"/>
        <v>11</v>
      </c>
      <c r="AR48" t="str">
        <f t="shared" si="11"/>
        <v>SEED-009</v>
      </c>
      <c r="AS48" s="15" t="s">
        <v>181</v>
      </c>
      <c r="AT48" s="15" t="s">
        <v>205</v>
      </c>
      <c r="AU48">
        <f t="shared" si="29"/>
        <v>22.935779816513758</v>
      </c>
      <c r="AV48">
        <f t="shared" si="13"/>
        <v>50</v>
      </c>
      <c r="AW48">
        <f t="shared" si="14"/>
        <v>91</v>
      </c>
      <c r="AX48">
        <f t="shared" si="15"/>
        <v>85</v>
      </c>
      <c r="AY48">
        <f t="shared" si="3"/>
        <v>99.94019988039976</v>
      </c>
      <c r="AZ48">
        <f t="shared" si="16"/>
        <v>70</v>
      </c>
      <c r="BA48">
        <f t="shared" si="17"/>
        <v>58.827743938974116</v>
      </c>
      <c r="BB48">
        <f t="shared" si="31"/>
        <v>10</v>
      </c>
      <c r="BC48" t="str">
        <f t="shared" si="19"/>
        <v>SEED-009</v>
      </c>
    </row>
    <row r="49" spans="2:55" ht="39.6" x14ac:dyDescent="0.3">
      <c r="B49" s="5" t="s">
        <v>29</v>
      </c>
      <c r="C49" s="15" t="s">
        <v>181</v>
      </c>
      <c r="D49" s="5" t="s">
        <v>208</v>
      </c>
      <c r="E49" s="5" t="s">
        <v>209</v>
      </c>
      <c r="F49" s="5" t="s">
        <v>164</v>
      </c>
      <c r="G49" s="5">
        <v>240</v>
      </c>
      <c r="H49" s="5">
        <v>110</v>
      </c>
      <c r="I49" s="5">
        <v>1000</v>
      </c>
      <c r="J49" s="5">
        <v>110000</v>
      </c>
      <c r="K49" s="5">
        <v>5</v>
      </c>
      <c r="L49" s="5">
        <v>2</v>
      </c>
      <c r="M49" s="5">
        <v>1.8</v>
      </c>
      <c r="N49" s="5">
        <v>94</v>
      </c>
      <c r="O49" s="5">
        <v>45</v>
      </c>
      <c r="P49" s="5" t="s">
        <v>94</v>
      </c>
      <c r="Q49" s="5">
        <v>7</v>
      </c>
      <c r="R49" s="5">
        <v>8.5</v>
      </c>
      <c r="S49" s="5" t="s">
        <v>67</v>
      </c>
      <c r="T49" s="5">
        <v>7.8</v>
      </c>
      <c r="U49" s="5" t="s">
        <v>81</v>
      </c>
      <c r="V49" s="5" t="s">
        <v>54</v>
      </c>
      <c r="W49" s="5">
        <v>1</v>
      </c>
      <c r="X49" s="5" t="s">
        <v>38</v>
      </c>
      <c r="Y49" s="5">
        <v>18</v>
      </c>
      <c r="Z49" s="5">
        <v>7.5</v>
      </c>
      <c r="AA49" s="5" t="s">
        <v>192</v>
      </c>
      <c r="AB49" s="5" t="s">
        <v>68</v>
      </c>
      <c r="AC49" s="5" t="s">
        <v>68</v>
      </c>
      <c r="AD49" s="5"/>
      <c r="AF49" s="15" t="s">
        <v>181</v>
      </c>
      <c r="AG49" s="15" t="s">
        <v>209</v>
      </c>
      <c r="AH49">
        <f t="shared" si="28"/>
        <v>100</v>
      </c>
      <c r="AI49">
        <f t="shared" si="4"/>
        <v>70</v>
      </c>
      <c r="AJ49" s="12">
        <f t="shared" si="5"/>
        <v>64</v>
      </c>
      <c r="AK49">
        <f t="shared" si="6"/>
        <v>94</v>
      </c>
      <c r="AL49">
        <f t="shared" si="1"/>
        <v>75</v>
      </c>
      <c r="AM49">
        <f t="shared" si="7"/>
        <v>52</v>
      </c>
      <c r="AN49">
        <f t="shared" si="2"/>
        <v>99.800199600399196</v>
      </c>
      <c r="AO49">
        <f t="shared" si="8"/>
        <v>75</v>
      </c>
      <c r="AP49">
        <f t="shared" si="9"/>
        <v>80.794005988011975</v>
      </c>
      <c r="AQ49">
        <f t="shared" si="30"/>
        <v>4</v>
      </c>
      <c r="AR49" t="str">
        <f t="shared" si="11"/>
        <v>SEED-010</v>
      </c>
      <c r="AS49" s="15" t="s">
        <v>181</v>
      </c>
      <c r="AT49" s="15" t="s">
        <v>209</v>
      </c>
      <c r="AU49">
        <f t="shared" si="29"/>
        <v>100</v>
      </c>
      <c r="AV49">
        <f t="shared" si="13"/>
        <v>75</v>
      </c>
      <c r="AW49">
        <f t="shared" si="14"/>
        <v>94</v>
      </c>
      <c r="AX49">
        <f t="shared" si="15"/>
        <v>70</v>
      </c>
      <c r="AY49">
        <f t="shared" si="3"/>
        <v>99.800199600399196</v>
      </c>
      <c r="AZ49">
        <f t="shared" si="16"/>
        <v>52</v>
      </c>
      <c r="BA49">
        <f t="shared" si="17"/>
        <v>85.640009980019954</v>
      </c>
      <c r="BB49">
        <f t="shared" si="31"/>
        <v>3</v>
      </c>
      <c r="BC49" t="str">
        <f t="shared" si="19"/>
        <v>SEED-010</v>
      </c>
    </row>
    <row r="50" spans="2:55" ht="39.6" x14ac:dyDescent="0.3">
      <c r="B50" s="5" t="s">
        <v>29</v>
      </c>
      <c r="C50" s="15" t="s">
        <v>181</v>
      </c>
      <c r="D50" s="5" t="s">
        <v>210</v>
      </c>
      <c r="E50" s="5" t="s">
        <v>211</v>
      </c>
      <c r="F50" s="5" t="s">
        <v>178</v>
      </c>
      <c r="G50" s="5">
        <v>110</v>
      </c>
      <c r="H50" s="5">
        <v>1200</v>
      </c>
      <c r="I50" s="5">
        <v>50</v>
      </c>
      <c r="J50" s="5">
        <v>60000</v>
      </c>
      <c r="K50" s="5">
        <v>4</v>
      </c>
      <c r="L50" s="5">
        <v>2</v>
      </c>
      <c r="M50" s="5">
        <v>0.4</v>
      </c>
      <c r="N50" s="5">
        <v>98</v>
      </c>
      <c r="O50" s="5">
        <v>30</v>
      </c>
      <c r="P50" s="5" t="s">
        <v>88</v>
      </c>
      <c r="Q50" s="5">
        <v>9.1999999999999993</v>
      </c>
      <c r="R50" s="5">
        <v>9.1</v>
      </c>
      <c r="S50" s="5" t="s">
        <v>179</v>
      </c>
      <c r="T50" s="5">
        <v>9.8000000000000007</v>
      </c>
      <c r="U50" s="5" t="s">
        <v>53</v>
      </c>
      <c r="V50" s="5" t="s">
        <v>54</v>
      </c>
      <c r="W50" s="5">
        <v>1</v>
      </c>
      <c r="X50" s="5" t="s">
        <v>38</v>
      </c>
      <c r="Y50" s="5">
        <v>8</v>
      </c>
      <c r="Z50" s="5">
        <v>9.1999999999999993</v>
      </c>
      <c r="AA50" s="5" t="s">
        <v>212</v>
      </c>
      <c r="AB50" s="5" t="s">
        <v>38</v>
      </c>
      <c r="AC50" s="5" t="s">
        <v>38</v>
      </c>
      <c r="AD50" s="5"/>
      <c r="AF50" s="15" t="s">
        <v>181</v>
      </c>
      <c r="AG50" s="15" t="s">
        <v>211</v>
      </c>
      <c r="AH50">
        <f t="shared" si="28"/>
        <v>0</v>
      </c>
      <c r="AI50">
        <f t="shared" si="4"/>
        <v>92</v>
      </c>
      <c r="AJ50" s="12">
        <f t="shared" si="5"/>
        <v>92</v>
      </c>
      <c r="AK50">
        <f t="shared" si="6"/>
        <v>98</v>
      </c>
      <c r="AL50">
        <f t="shared" si="1"/>
        <v>80</v>
      </c>
      <c r="AM50">
        <f t="shared" si="7"/>
        <v>78</v>
      </c>
      <c r="AN50">
        <f t="shared" si="2"/>
        <v>99.990199980399964</v>
      </c>
      <c r="AO50">
        <f t="shared" si="8"/>
        <v>92</v>
      </c>
      <c r="AP50">
        <f t="shared" si="9"/>
        <v>68.239705999411996</v>
      </c>
      <c r="AQ50">
        <f t="shared" si="30"/>
        <v>10</v>
      </c>
      <c r="AR50" t="str">
        <f t="shared" si="11"/>
        <v>SEED-011</v>
      </c>
      <c r="AS50" s="15" t="s">
        <v>181</v>
      </c>
      <c r="AT50" s="15" t="s">
        <v>211</v>
      </c>
      <c r="AU50">
        <f t="shared" si="29"/>
        <v>0</v>
      </c>
      <c r="AV50">
        <f t="shared" si="13"/>
        <v>80</v>
      </c>
      <c r="AW50">
        <f t="shared" si="14"/>
        <v>98</v>
      </c>
      <c r="AX50">
        <f t="shared" si="15"/>
        <v>92</v>
      </c>
      <c r="AY50">
        <f t="shared" si="3"/>
        <v>99.990199980399964</v>
      </c>
      <c r="AZ50">
        <f t="shared" si="16"/>
        <v>78</v>
      </c>
      <c r="BA50">
        <f t="shared" si="17"/>
        <v>62.299509999019996</v>
      </c>
      <c r="BB50">
        <f t="shared" si="31"/>
        <v>9</v>
      </c>
      <c r="BC50" t="str">
        <f t="shared" si="19"/>
        <v>SEED-011</v>
      </c>
    </row>
    <row r="51" spans="2:55" ht="39.6" x14ac:dyDescent="0.3">
      <c r="B51" s="5" t="s">
        <v>29</v>
      </c>
      <c r="C51" s="15" t="s">
        <v>181</v>
      </c>
      <c r="D51" s="5" t="s">
        <v>213</v>
      </c>
      <c r="E51" s="5" t="s">
        <v>214</v>
      </c>
      <c r="F51" s="5" t="s">
        <v>78</v>
      </c>
      <c r="G51" s="5">
        <v>1400</v>
      </c>
      <c r="H51" s="5">
        <v>700</v>
      </c>
      <c r="I51" s="5">
        <v>2000</v>
      </c>
      <c r="J51" s="5">
        <v>1400000</v>
      </c>
      <c r="K51" s="5">
        <v>10</v>
      </c>
      <c r="L51" s="5">
        <v>5</v>
      </c>
      <c r="M51" s="5">
        <v>1.5</v>
      </c>
      <c r="N51" s="5">
        <v>85</v>
      </c>
      <c r="O51" s="5">
        <v>90</v>
      </c>
      <c r="P51" s="5" t="s">
        <v>66</v>
      </c>
      <c r="Q51" s="5">
        <v>6.8</v>
      </c>
      <c r="R51" s="5">
        <v>7.2</v>
      </c>
      <c r="S51" s="5" t="s">
        <v>54</v>
      </c>
      <c r="T51" s="5">
        <v>6.5</v>
      </c>
      <c r="U51" s="5" t="s">
        <v>174</v>
      </c>
      <c r="V51" s="5" t="s">
        <v>54</v>
      </c>
      <c r="W51" s="5">
        <v>3</v>
      </c>
      <c r="X51" s="5" t="s">
        <v>68</v>
      </c>
      <c r="Y51" s="5">
        <v>35</v>
      </c>
      <c r="Z51" s="5">
        <v>6</v>
      </c>
      <c r="AA51" s="5" t="s">
        <v>134</v>
      </c>
      <c r="AB51" s="5" t="s">
        <v>38</v>
      </c>
      <c r="AC51" s="5" t="s">
        <v>38</v>
      </c>
      <c r="AD51" s="5"/>
      <c r="AF51" s="15" t="s">
        <v>181</v>
      </c>
      <c r="AG51" s="15" t="s">
        <v>214</v>
      </c>
      <c r="AH51">
        <f t="shared" si="28"/>
        <v>45.871559633027523</v>
      </c>
      <c r="AI51">
        <f t="shared" si="4"/>
        <v>68</v>
      </c>
      <c r="AJ51" s="12">
        <f t="shared" si="5"/>
        <v>70</v>
      </c>
      <c r="AK51">
        <f t="shared" si="6"/>
        <v>85</v>
      </c>
      <c r="AL51">
        <f t="shared" si="1"/>
        <v>50</v>
      </c>
      <c r="AM51">
        <f t="shared" si="7"/>
        <v>0</v>
      </c>
      <c r="AN51">
        <f t="shared" si="2"/>
        <v>99.600199200398407</v>
      </c>
      <c r="AO51">
        <f t="shared" si="8"/>
        <v>60</v>
      </c>
      <c r="AP51">
        <f t="shared" si="9"/>
        <v>60.905895884268837</v>
      </c>
      <c r="AQ51">
        <f t="shared" si="30"/>
        <v>12</v>
      </c>
      <c r="AR51" t="str">
        <f t="shared" si="11"/>
        <v>SEED-012</v>
      </c>
      <c r="AS51" s="15" t="s">
        <v>181</v>
      </c>
      <c r="AT51" s="15" t="s">
        <v>214</v>
      </c>
      <c r="AU51">
        <f t="shared" si="29"/>
        <v>45.871559633027523</v>
      </c>
      <c r="AV51">
        <f t="shared" si="13"/>
        <v>50</v>
      </c>
      <c r="AW51">
        <f t="shared" si="14"/>
        <v>85</v>
      </c>
      <c r="AX51">
        <f t="shared" si="15"/>
        <v>68</v>
      </c>
      <c r="AY51">
        <f t="shared" si="3"/>
        <v>99.600199200398407</v>
      </c>
      <c r="AZ51">
        <f t="shared" si="16"/>
        <v>0</v>
      </c>
      <c r="BA51">
        <f t="shared" si="17"/>
        <v>58.441477849928184</v>
      </c>
      <c r="BB51">
        <f t="shared" si="31"/>
        <v>11</v>
      </c>
      <c r="BC51" t="str">
        <f t="shared" si="19"/>
        <v>SEED-012</v>
      </c>
    </row>
    <row r="52" spans="2:55" ht="39.6" x14ac:dyDescent="0.3">
      <c r="B52" s="5" t="s">
        <v>29</v>
      </c>
      <c r="C52" s="15" t="s">
        <v>215</v>
      </c>
      <c r="D52" s="5" t="s">
        <v>216</v>
      </c>
      <c r="E52" s="5" t="s">
        <v>217</v>
      </c>
      <c r="F52" s="5" t="s">
        <v>33</v>
      </c>
      <c r="G52" s="5">
        <v>65</v>
      </c>
      <c r="H52" s="5">
        <v>52</v>
      </c>
      <c r="I52" s="5">
        <v>1000</v>
      </c>
      <c r="J52" s="5">
        <v>52000</v>
      </c>
      <c r="K52" s="5">
        <v>1</v>
      </c>
      <c r="L52" s="5">
        <v>0.5</v>
      </c>
      <c r="M52" s="5">
        <v>0.4</v>
      </c>
      <c r="N52" s="5">
        <v>98</v>
      </c>
      <c r="O52" s="5">
        <v>15</v>
      </c>
      <c r="P52" s="5" t="s">
        <v>218</v>
      </c>
      <c r="Q52" s="5">
        <v>8.8000000000000007</v>
      </c>
      <c r="R52" s="5">
        <v>9.6999999999999993</v>
      </c>
      <c r="S52" s="5" t="s">
        <v>219</v>
      </c>
      <c r="T52" s="5">
        <v>8.5</v>
      </c>
      <c r="U52" s="5" t="s">
        <v>36</v>
      </c>
      <c r="V52" s="5" t="s">
        <v>37</v>
      </c>
      <c r="W52" s="5">
        <v>3</v>
      </c>
      <c r="X52" s="5" t="s">
        <v>38</v>
      </c>
      <c r="Y52" s="5">
        <v>1</v>
      </c>
      <c r="Z52" s="5">
        <v>9</v>
      </c>
      <c r="AA52" s="6">
        <v>6.5000000000000002E-2</v>
      </c>
      <c r="AB52" s="5" t="s">
        <v>220</v>
      </c>
      <c r="AC52" s="5" t="s">
        <v>141</v>
      </c>
      <c r="AD52" s="5"/>
      <c r="AF52" s="15" t="s">
        <v>215</v>
      </c>
      <c r="AG52" s="15" t="s">
        <v>217</v>
      </c>
      <c r="AH52">
        <f t="shared" ref="AH52:AH61" si="32">100-((H52-MIN($H$52:$H$61))/(MAX($H$52:$H$61)-MIN($H$52:$H$61))*100)</f>
        <v>72.222222222222229</v>
      </c>
      <c r="AI52">
        <f t="shared" si="4"/>
        <v>88</v>
      </c>
      <c r="AJ52" s="12">
        <f t="shared" si="5"/>
        <v>92</v>
      </c>
      <c r="AK52">
        <f t="shared" si="6"/>
        <v>98</v>
      </c>
      <c r="AL52">
        <f t="shared" si="1"/>
        <v>95</v>
      </c>
      <c r="AM52">
        <f t="shared" si="7"/>
        <v>87</v>
      </c>
      <c r="AN52">
        <f t="shared" si="2"/>
        <v>99.800199600399196</v>
      </c>
      <c r="AO52">
        <f t="shared" si="8"/>
        <v>90</v>
      </c>
      <c r="AP52">
        <f t="shared" si="9"/>
        <v>87.199561543567526</v>
      </c>
      <c r="AQ52">
        <f>RANK(AP52, $AP$52:$AP$61, 0)</f>
        <v>1</v>
      </c>
      <c r="AR52" t="str">
        <f t="shared" si="11"/>
        <v>BMILK-001</v>
      </c>
      <c r="AS52" s="15" t="s">
        <v>215</v>
      </c>
      <c r="AT52" s="15" t="s">
        <v>217</v>
      </c>
      <c r="AU52">
        <f t="shared" ref="AU52:AU61" si="33">100-((H52-MIN($H$52:$H$61))/(MAX($H$52:$H$61)-MIN($H$52:$H$61))*100)</f>
        <v>72.222222222222229</v>
      </c>
      <c r="AV52">
        <f t="shared" si="13"/>
        <v>95</v>
      </c>
      <c r="AW52">
        <f t="shared" si="14"/>
        <v>98</v>
      </c>
      <c r="AX52">
        <f t="shared" si="15"/>
        <v>88</v>
      </c>
      <c r="AY52">
        <f t="shared" si="3"/>
        <v>99.800199600399196</v>
      </c>
      <c r="AZ52">
        <f t="shared" si="16"/>
        <v>87</v>
      </c>
      <c r="BA52">
        <f t="shared" si="17"/>
        <v>87.55667664668664</v>
      </c>
      <c r="BB52">
        <f>RANK(BA52, $BA$52:$BA$61, 0)</f>
        <v>3</v>
      </c>
      <c r="BC52" t="str">
        <f t="shared" si="19"/>
        <v>BMILK-001</v>
      </c>
    </row>
    <row r="53" spans="2:55" ht="39.6" x14ac:dyDescent="0.3">
      <c r="B53" s="5" t="s">
        <v>29</v>
      </c>
      <c r="C53" s="15" t="s">
        <v>215</v>
      </c>
      <c r="D53" s="5" t="s">
        <v>221</v>
      </c>
      <c r="E53" s="5" t="s">
        <v>222</v>
      </c>
      <c r="F53" s="5" t="s">
        <v>223</v>
      </c>
      <c r="G53" s="5">
        <v>35</v>
      </c>
      <c r="H53" s="5">
        <v>55</v>
      </c>
      <c r="I53" s="5">
        <v>500</v>
      </c>
      <c r="J53" s="5">
        <v>27500</v>
      </c>
      <c r="K53" s="5">
        <v>1</v>
      </c>
      <c r="L53" s="5">
        <v>0.5</v>
      </c>
      <c r="M53" s="5">
        <v>0.3</v>
      </c>
      <c r="N53" s="5">
        <v>99</v>
      </c>
      <c r="O53" s="5">
        <v>7</v>
      </c>
      <c r="P53" s="5" t="s">
        <v>224</v>
      </c>
      <c r="Q53" s="5">
        <v>9</v>
      </c>
      <c r="R53" s="5">
        <v>9.9</v>
      </c>
      <c r="S53" s="5" t="s">
        <v>225</v>
      </c>
      <c r="T53" s="5">
        <v>9.1999999999999993</v>
      </c>
      <c r="U53" s="5" t="s">
        <v>36</v>
      </c>
      <c r="V53" s="5" t="s">
        <v>46</v>
      </c>
      <c r="W53" s="5">
        <v>2</v>
      </c>
      <c r="X53" s="5" t="s">
        <v>38</v>
      </c>
      <c r="Y53" s="5">
        <v>1</v>
      </c>
      <c r="Z53" s="5">
        <v>9.5</v>
      </c>
      <c r="AA53" s="7">
        <v>7.0000000000000007E-2</v>
      </c>
      <c r="AB53" s="5" t="s">
        <v>226</v>
      </c>
      <c r="AC53" s="5" t="s">
        <v>141</v>
      </c>
      <c r="AD53" s="5"/>
      <c r="AF53" s="15" t="s">
        <v>215</v>
      </c>
      <c r="AG53" s="15" t="s">
        <v>222</v>
      </c>
      <c r="AH53">
        <f t="shared" si="32"/>
        <v>55.555555555555557</v>
      </c>
      <c r="AI53">
        <f t="shared" si="4"/>
        <v>90</v>
      </c>
      <c r="AJ53" s="12">
        <f t="shared" si="5"/>
        <v>94</v>
      </c>
      <c r="AK53">
        <f t="shared" si="6"/>
        <v>99</v>
      </c>
      <c r="AL53">
        <f t="shared" si="1"/>
        <v>95</v>
      </c>
      <c r="AM53">
        <f t="shared" si="7"/>
        <v>93</v>
      </c>
      <c r="AN53">
        <f t="shared" si="2"/>
        <v>99.900199800399605</v>
      </c>
      <c r="AO53">
        <f t="shared" si="8"/>
        <v>95</v>
      </c>
      <c r="AP53">
        <f t="shared" si="9"/>
        <v>84.385894882900885</v>
      </c>
      <c r="AQ53">
        <f t="shared" ref="AQ53:AQ61" si="34">RANK(AP53, $AP$52:$AP$61, 0)</f>
        <v>4</v>
      </c>
      <c r="AR53" t="str">
        <f t="shared" si="11"/>
        <v>BMILK-002</v>
      </c>
      <c r="AS53" s="15" t="s">
        <v>215</v>
      </c>
      <c r="AT53" s="15" t="s">
        <v>222</v>
      </c>
      <c r="AU53">
        <f t="shared" si="33"/>
        <v>55.555555555555557</v>
      </c>
      <c r="AV53">
        <f t="shared" si="13"/>
        <v>95</v>
      </c>
      <c r="AW53">
        <f t="shared" si="14"/>
        <v>99</v>
      </c>
      <c r="AX53">
        <f t="shared" si="15"/>
        <v>90</v>
      </c>
      <c r="AY53">
        <f t="shared" si="3"/>
        <v>99.900199800399605</v>
      </c>
      <c r="AZ53">
        <f t="shared" si="16"/>
        <v>93</v>
      </c>
      <c r="BA53">
        <f t="shared" si="17"/>
        <v>83.361676656686654</v>
      </c>
      <c r="BB53">
        <f t="shared" ref="BB53:BB61" si="35">RANK(BA53, $BA$52:$BA$61, 0)</f>
        <v>6</v>
      </c>
      <c r="BC53" t="str">
        <f t="shared" si="19"/>
        <v>BMILK-002</v>
      </c>
    </row>
    <row r="54" spans="2:55" ht="39.6" x14ac:dyDescent="0.3">
      <c r="B54" s="5" t="s">
        <v>29</v>
      </c>
      <c r="C54" s="15" t="s">
        <v>215</v>
      </c>
      <c r="D54" s="5" t="s">
        <v>227</v>
      </c>
      <c r="E54" s="5" t="s">
        <v>228</v>
      </c>
      <c r="F54" s="5" t="s">
        <v>229</v>
      </c>
      <c r="G54" s="5">
        <v>350</v>
      </c>
      <c r="H54" s="5">
        <v>50</v>
      </c>
      <c r="I54" s="5">
        <v>2000</v>
      </c>
      <c r="J54" s="5">
        <v>100000</v>
      </c>
      <c r="K54" s="5">
        <v>2</v>
      </c>
      <c r="L54" s="5">
        <v>1</v>
      </c>
      <c r="M54" s="5">
        <v>0.6</v>
      </c>
      <c r="N54" s="5">
        <v>96</v>
      </c>
      <c r="O54" s="5">
        <v>30</v>
      </c>
      <c r="P54" s="5" t="s">
        <v>230</v>
      </c>
      <c r="Q54" s="5">
        <v>8.1999999999999993</v>
      </c>
      <c r="R54" s="5">
        <v>9.3000000000000007</v>
      </c>
      <c r="S54" s="5" t="s">
        <v>67</v>
      </c>
      <c r="T54" s="5">
        <v>7.8</v>
      </c>
      <c r="U54" s="5" t="s">
        <v>53</v>
      </c>
      <c r="V54" s="5" t="s">
        <v>54</v>
      </c>
      <c r="W54" s="5">
        <v>2</v>
      </c>
      <c r="X54" s="5" t="s">
        <v>38</v>
      </c>
      <c r="Y54" s="5">
        <v>2</v>
      </c>
      <c r="Z54" s="5">
        <v>8.5</v>
      </c>
      <c r="AA54" s="7">
        <v>0.06</v>
      </c>
      <c r="AB54" s="5" t="s">
        <v>231</v>
      </c>
      <c r="AC54" s="5" t="s">
        <v>136</v>
      </c>
      <c r="AD54" s="5"/>
      <c r="AF54" s="15" t="s">
        <v>215</v>
      </c>
      <c r="AG54" s="15" t="s">
        <v>228</v>
      </c>
      <c r="AH54">
        <f t="shared" si="32"/>
        <v>83.333333333333343</v>
      </c>
      <c r="AI54">
        <f t="shared" si="4"/>
        <v>82</v>
      </c>
      <c r="AJ54" s="12">
        <f t="shared" si="5"/>
        <v>88</v>
      </c>
      <c r="AK54">
        <f t="shared" si="6"/>
        <v>96</v>
      </c>
      <c r="AL54">
        <f t="shared" si="1"/>
        <v>90</v>
      </c>
      <c r="AM54">
        <f t="shared" si="7"/>
        <v>30</v>
      </c>
      <c r="AN54">
        <f t="shared" si="2"/>
        <v>99.600199200398407</v>
      </c>
      <c r="AO54">
        <f t="shared" si="8"/>
        <v>85</v>
      </c>
      <c r="AP54">
        <f t="shared" si="9"/>
        <v>84.121339309345288</v>
      </c>
      <c r="AQ54">
        <f t="shared" si="34"/>
        <v>5</v>
      </c>
      <c r="AR54" t="str">
        <f t="shared" si="11"/>
        <v>BMILK-003</v>
      </c>
      <c r="AS54" s="15" t="s">
        <v>215</v>
      </c>
      <c r="AT54" s="15" t="s">
        <v>228</v>
      </c>
      <c r="AU54">
        <f t="shared" si="33"/>
        <v>83.333333333333343</v>
      </c>
      <c r="AV54">
        <f t="shared" si="13"/>
        <v>90</v>
      </c>
      <c r="AW54">
        <f t="shared" si="14"/>
        <v>96</v>
      </c>
      <c r="AX54">
        <f t="shared" si="15"/>
        <v>82</v>
      </c>
      <c r="AY54">
        <f t="shared" si="3"/>
        <v>99.600199200398407</v>
      </c>
      <c r="AZ54">
        <f t="shared" si="16"/>
        <v>30</v>
      </c>
      <c r="BA54">
        <f t="shared" si="17"/>
        <v>85.480009960019913</v>
      </c>
      <c r="BB54">
        <f t="shared" si="35"/>
        <v>5</v>
      </c>
      <c r="BC54" t="str">
        <f t="shared" si="19"/>
        <v>BMILK-003</v>
      </c>
    </row>
    <row r="55" spans="2:55" ht="39.6" x14ac:dyDescent="0.3">
      <c r="B55" s="5" t="s">
        <v>29</v>
      </c>
      <c r="C55" s="15" t="s">
        <v>215</v>
      </c>
      <c r="D55" s="5" t="s">
        <v>232</v>
      </c>
      <c r="E55" s="5" t="s">
        <v>233</v>
      </c>
      <c r="F55" s="5" t="s">
        <v>178</v>
      </c>
      <c r="G55" s="5">
        <v>110</v>
      </c>
      <c r="H55" s="5">
        <v>60</v>
      </c>
      <c r="I55" s="5">
        <v>300</v>
      </c>
      <c r="J55" s="5">
        <v>18000</v>
      </c>
      <c r="K55" s="5">
        <v>2</v>
      </c>
      <c r="L55" s="5">
        <v>1</v>
      </c>
      <c r="M55" s="5">
        <v>0.2</v>
      </c>
      <c r="N55" s="5">
        <v>97</v>
      </c>
      <c r="O55" s="5">
        <v>15</v>
      </c>
      <c r="P55" s="5" t="s">
        <v>234</v>
      </c>
      <c r="Q55" s="5">
        <v>9.5</v>
      </c>
      <c r="R55" s="5">
        <v>9.4</v>
      </c>
      <c r="S55" s="5" t="s">
        <v>235</v>
      </c>
      <c r="T55" s="5">
        <v>9.8000000000000007</v>
      </c>
      <c r="U55" s="5" t="s">
        <v>53</v>
      </c>
      <c r="V55" s="5" t="s">
        <v>54</v>
      </c>
      <c r="W55" s="5">
        <v>1</v>
      </c>
      <c r="X55" s="5" t="s">
        <v>38</v>
      </c>
      <c r="Y55" s="5">
        <v>1</v>
      </c>
      <c r="Z55" s="5">
        <v>9.1999999999999993</v>
      </c>
      <c r="AA55" s="6">
        <v>6.8000000000000005E-2</v>
      </c>
      <c r="AB55" s="5" t="s">
        <v>236</v>
      </c>
      <c r="AC55" s="5" t="s">
        <v>141</v>
      </c>
      <c r="AD55" s="5"/>
      <c r="AF55" s="15" t="s">
        <v>215</v>
      </c>
      <c r="AG55" s="15" t="s">
        <v>233</v>
      </c>
      <c r="AH55">
        <f t="shared" si="32"/>
        <v>27.777777777777786</v>
      </c>
      <c r="AI55">
        <f t="shared" si="4"/>
        <v>95</v>
      </c>
      <c r="AJ55" s="12">
        <f t="shared" si="5"/>
        <v>96</v>
      </c>
      <c r="AK55">
        <f t="shared" si="6"/>
        <v>97</v>
      </c>
      <c r="AL55">
        <f t="shared" si="1"/>
        <v>90</v>
      </c>
      <c r="AM55">
        <f t="shared" si="7"/>
        <v>78</v>
      </c>
      <c r="AN55">
        <f t="shared" si="2"/>
        <v>99.94019988039976</v>
      </c>
      <c r="AO55">
        <f t="shared" si="8"/>
        <v>92</v>
      </c>
      <c r="AP55">
        <f t="shared" si="9"/>
        <v>77.382650440856452</v>
      </c>
      <c r="AQ55">
        <f t="shared" si="34"/>
        <v>9</v>
      </c>
      <c r="AR55" t="str">
        <f t="shared" si="11"/>
        <v>BMILK-004</v>
      </c>
      <c r="AS55" s="15" t="s">
        <v>215</v>
      </c>
      <c r="AT55" s="15" t="s">
        <v>233</v>
      </c>
      <c r="AU55">
        <f t="shared" si="33"/>
        <v>27.777777777777786</v>
      </c>
      <c r="AV55">
        <f t="shared" si="13"/>
        <v>90</v>
      </c>
      <c r="AW55">
        <f t="shared" si="14"/>
        <v>97</v>
      </c>
      <c r="AX55">
        <f t="shared" si="15"/>
        <v>95</v>
      </c>
      <c r="AY55">
        <f t="shared" si="3"/>
        <v>99.94019988039976</v>
      </c>
      <c r="AZ55">
        <f t="shared" si="16"/>
        <v>78</v>
      </c>
      <c r="BA55">
        <f t="shared" si="17"/>
        <v>73.38034332735333</v>
      </c>
      <c r="BB55">
        <f t="shared" si="35"/>
        <v>9</v>
      </c>
      <c r="BC55" t="str">
        <f t="shared" si="19"/>
        <v>BMILK-004</v>
      </c>
    </row>
    <row r="56" spans="2:55" ht="39.6" x14ac:dyDescent="0.3">
      <c r="B56" s="5" t="s">
        <v>29</v>
      </c>
      <c r="C56" s="15" t="s">
        <v>215</v>
      </c>
      <c r="D56" s="5" t="s">
        <v>237</v>
      </c>
      <c r="E56" s="5" t="s">
        <v>238</v>
      </c>
      <c r="F56" s="5" t="s">
        <v>84</v>
      </c>
      <c r="G56" s="5">
        <v>150</v>
      </c>
      <c r="H56" s="5">
        <v>48</v>
      </c>
      <c r="I56" s="5">
        <v>5000</v>
      </c>
      <c r="J56" s="5">
        <v>240000</v>
      </c>
      <c r="K56" s="5">
        <v>3</v>
      </c>
      <c r="L56" s="5">
        <v>1</v>
      </c>
      <c r="M56" s="5">
        <v>0.8</v>
      </c>
      <c r="N56" s="5">
        <v>94</v>
      </c>
      <c r="O56" s="5">
        <v>60</v>
      </c>
      <c r="P56" s="5" t="s">
        <v>239</v>
      </c>
      <c r="Q56" s="5">
        <v>7.8</v>
      </c>
      <c r="R56" s="5">
        <v>8.5</v>
      </c>
      <c r="S56" s="5" t="s">
        <v>52</v>
      </c>
      <c r="T56" s="5">
        <v>7</v>
      </c>
      <c r="U56" s="5" t="s">
        <v>81</v>
      </c>
      <c r="V56" s="5" t="s">
        <v>37</v>
      </c>
      <c r="W56" s="5">
        <v>3</v>
      </c>
      <c r="X56" s="5" t="s">
        <v>68</v>
      </c>
      <c r="Y56" s="5">
        <v>3</v>
      </c>
      <c r="Z56" s="5">
        <v>7.5</v>
      </c>
      <c r="AA56" s="6">
        <v>5.5E-2</v>
      </c>
      <c r="AB56" s="5" t="s">
        <v>240</v>
      </c>
      <c r="AC56" s="5" t="s">
        <v>136</v>
      </c>
      <c r="AD56" s="5"/>
      <c r="AF56" s="15" t="s">
        <v>215</v>
      </c>
      <c r="AG56" s="15" t="s">
        <v>238</v>
      </c>
      <c r="AH56">
        <f t="shared" si="32"/>
        <v>94.444444444444443</v>
      </c>
      <c r="AI56">
        <f t="shared" si="4"/>
        <v>78</v>
      </c>
      <c r="AJ56" s="12">
        <f t="shared" si="5"/>
        <v>84</v>
      </c>
      <c r="AK56">
        <f t="shared" si="6"/>
        <v>94</v>
      </c>
      <c r="AL56">
        <f t="shared" si="1"/>
        <v>85</v>
      </c>
      <c r="AM56">
        <f t="shared" si="7"/>
        <v>70</v>
      </c>
      <c r="AN56">
        <f t="shared" si="2"/>
        <v>99.000198000395997</v>
      </c>
      <c r="AO56">
        <f t="shared" si="8"/>
        <v>75</v>
      </c>
      <c r="AP56">
        <f t="shared" si="9"/>
        <v>86.28111705112299</v>
      </c>
      <c r="AQ56">
        <f t="shared" si="34"/>
        <v>3</v>
      </c>
      <c r="AR56" t="str">
        <f t="shared" si="11"/>
        <v>BMILK-005</v>
      </c>
      <c r="AS56" s="15" t="s">
        <v>215</v>
      </c>
      <c r="AT56" s="15" t="s">
        <v>238</v>
      </c>
      <c r="AU56">
        <f t="shared" si="33"/>
        <v>94.444444444444443</v>
      </c>
      <c r="AV56">
        <f t="shared" si="13"/>
        <v>85</v>
      </c>
      <c r="AW56">
        <f t="shared" si="14"/>
        <v>94</v>
      </c>
      <c r="AX56">
        <f t="shared" si="15"/>
        <v>78</v>
      </c>
      <c r="AY56">
        <f t="shared" si="3"/>
        <v>99.000198000395997</v>
      </c>
      <c r="AZ56">
        <f t="shared" si="16"/>
        <v>70</v>
      </c>
      <c r="BA56">
        <f t="shared" si="17"/>
        <v>88.533343233353122</v>
      </c>
      <c r="BB56">
        <f t="shared" si="35"/>
        <v>2</v>
      </c>
      <c r="BC56" t="str">
        <f t="shared" si="19"/>
        <v>BMILK-005</v>
      </c>
    </row>
    <row r="57" spans="2:55" ht="39.6" x14ac:dyDescent="0.3">
      <c r="B57" s="5" t="s">
        <v>29</v>
      </c>
      <c r="C57" s="15" t="s">
        <v>215</v>
      </c>
      <c r="D57" s="5" t="s">
        <v>241</v>
      </c>
      <c r="E57" s="5" t="s">
        <v>242</v>
      </c>
      <c r="F57" s="5" t="s">
        <v>72</v>
      </c>
      <c r="G57" s="5">
        <v>10</v>
      </c>
      <c r="H57" s="5">
        <v>58</v>
      </c>
      <c r="I57" s="5">
        <v>400</v>
      </c>
      <c r="J57" s="5">
        <v>23200</v>
      </c>
      <c r="K57" s="5">
        <v>1</v>
      </c>
      <c r="L57" s="5">
        <v>0.5</v>
      </c>
      <c r="M57" s="5">
        <v>0.3</v>
      </c>
      <c r="N57" s="5">
        <v>99</v>
      </c>
      <c r="O57" s="5">
        <v>10</v>
      </c>
      <c r="P57" s="5" t="s">
        <v>243</v>
      </c>
      <c r="Q57" s="5">
        <v>9.1999999999999993</v>
      </c>
      <c r="R57" s="5">
        <v>9.8000000000000007</v>
      </c>
      <c r="S57" s="5" t="s">
        <v>167</v>
      </c>
      <c r="T57" s="5">
        <v>9</v>
      </c>
      <c r="U57" s="5" t="s">
        <v>36</v>
      </c>
      <c r="V57" s="5" t="s">
        <v>46</v>
      </c>
      <c r="W57" s="5">
        <v>2</v>
      </c>
      <c r="X57" s="5" t="s">
        <v>38</v>
      </c>
      <c r="Y57" s="5">
        <v>1</v>
      </c>
      <c r="Z57" s="5">
        <v>9.6999999999999993</v>
      </c>
      <c r="AA57" s="6">
        <v>7.1999999999999995E-2</v>
      </c>
      <c r="AB57" s="5" t="s">
        <v>244</v>
      </c>
      <c r="AC57" s="5" t="s">
        <v>141</v>
      </c>
      <c r="AD57" s="5"/>
      <c r="AF57" s="15" t="s">
        <v>215</v>
      </c>
      <c r="AG57" s="15" t="s">
        <v>242</v>
      </c>
      <c r="AH57">
        <f t="shared" si="32"/>
        <v>38.888888888888886</v>
      </c>
      <c r="AI57">
        <f t="shared" si="4"/>
        <v>92</v>
      </c>
      <c r="AJ57" s="12">
        <f t="shared" si="5"/>
        <v>94</v>
      </c>
      <c r="AK57">
        <f t="shared" si="6"/>
        <v>99</v>
      </c>
      <c r="AL57">
        <f t="shared" si="1"/>
        <v>95</v>
      </c>
      <c r="AM57">
        <f t="shared" si="7"/>
        <v>98</v>
      </c>
      <c r="AN57">
        <f t="shared" si="2"/>
        <v>99.920199840399675</v>
      </c>
      <c r="AO57">
        <f t="shared" si="8"/>
        <v>97</v>
      </c>
      <c r="AP57">
        <f t="shared" si="9"/>
        <v>81.009828217434205</v>
      </c>
      <c r="AQ57">
        <f t="shared" si="34"/>
        <v>7</v>
      </c>
      <c r="AR57" t="str">
        <f t="shared" si="11"/>
        <v>BMILK-006</v>
      </c>
      <c r="AS57" s="15" t="s">
        <v>215</v>
      </c>
      <c r="AT57" s="15" t="s">
        <v>242</v>
      </c>
      <c r="AU57">
        <f t="shared" si="33"/>
        <v>38.888888888888886</v>
      </c>
      <c r="AV57">
        <f t="shared" si="13"/>
        <v>95</v>
      </c>
      <c r="AW57">
        <f t="shared" si="14"/>
        <v>99</v>
      </c>
      <c r="AX57">
        <f t="shared" si="15"/>
        <v>92</v>
      </c>
      <c r="AY57">
        <f t="shared" si="3"/>
        <v>99.920199840399675</v>
      </c>
      <c r="AZ57">
        <f t="shared" si="16"/>
        <v>98</v>
      </c>
      <c r="BA57">
        <f t="shared" si="17"/>
        <v>78.912676658686649</v>
      </c>
      <c r="BB57">
        <f t="shared" si="35"/>
        <v>8</v>
      </c>
      <c r="BC57" t="str">
        <f t="shared" si="19"/>
        <v>BMILK-006</v>
      </c>
    </row>
    <row r="58" spans="2:55" ht="39.6" x14ac:dyDescent="0.3">
      <c r="B58" s="5" t="s">
        <v>29</v>
      </c>
      <c r="C58" s="15" t="s">
        <v>215</v>
      </c>
      <c r="D58" s="5" t="s">
        <v>245</v>
      </c>
      <c r="E58" s="5" t="s">
        <v>246</v>
      </c>
      <c r="F58" s="5" t="s">
        <v>43</v>
      </c>
      <c r="G58" s="5">
        <v>250</v>
      </c>
      <c r="H58" s="5">
        <v>47</v>
      </c>
      <c r="I58" s="5">
        <v>1000</v>
      </c>
      <c r="J58" s="5">
        <v>47000</v>
      </c>
      <c r="K58" s="5">
        <v>2</v>
      </c>
      <c r="L58" s="5">
        <v>1</v>
      </c>
      <c r="M58" s="5">
        <v>0.7</v>
      </c>
      <c r="N58" s="5">
        <v>95</v>
      </c>
      <c r="O58" s="5">
        <v>30</v>
      </c>
      <c r="P58" s="5" t="s">
        <v>247</v>
      </c>
      <c r="Q58" s="5">
        <v>7.5</v>
      </c>
      <c r="R58" s="5">
        <v>9</v>
      </c>
      <c r="S58" s="5" t="s">
        <v>67</v>
      </c>
      <c r="T58" s="5">
        <v>7.5</v>
      </c>
      <c r="U58" s="5" t="s">
        <v>53</v>
      </c>
      <c r="V58" s="5" t="s">
        <v>54</v>
      </c>
      <c r="W58" s="5">
        <v>1</v>
      </c>
      <c r="X58" s="5" t="s">
        <v>38</v>
      </c>
      <c r="Y58" s="5">
        <v>2</v>
      </c>
      <c r="Z58" s="5">
        <v>8</v>
      </c>
      <c r="AA58" s="6">
        <v>6.2E-2</v>
      </c>
      <c r="AB58" s="5" t="s">
        <v>248</v>
      </c>
      <c r="AC58" s="5" t="s">
        <v>136</v>
      </c>
      <c r="AD58" s="5"/>
      <c r="AF58" s="15" t="s">
        <v>215</v>
      </c>
      <c r="AG58" s="15" t="s">
        <v>246</v>
      </c>
      <c r="AH58">
        <f t="shared" si="32"/>
        <v>100</v>
      </c>
      <c r="AI58">
        <f t="shared" si="4"/>
        <v>75</v>
      </c>
      <c r="AJ58" s="12">
        <f t="shared" si="5"/>
        <v>86</v>
      </c>
      <c r="AK58">
        <f t="shared" si="6"/>
        <v>95</v>
      </c>
      <c r="AL58">
        <f t="shared" si="1"/>
        <v>90</v>
      </c>
      <c r="AM58">
        <f t="shared" si="7"/>
        <v>50</v>
      </c>
      <c r="AN58">
        <f t="shared" si="2"/>
        <v>99.800199600399196</v>
      </c>
      <c r="AO58">
        <f t="shared" si="8"/>
        <v>80</v>
      </c>
      <c r="AP58">
        <f t="shared" si="9"/>
        <v>86.994005988011978</v>
      </c>
      <c r="AQ58">
        <f t="shared" si="34"/>
        <v>2</v>
      </c>
      <c r="AR58" t="str">
        <f t="shared" si="11"/>
        <v>BMILK-007</v>
      </c>
      <c r="AS58" s="15" t="s">
        <v>215</v>
      </c>
      <c r="AT58" s="15" t="s">
        <v>246</v>
      </c>
      <c r="AU58">
        <f t="shared" si="33"/>
        <v>100</v>
      </c>
      <c r="AV58">
        <f t="shared" si="13"/>
        <v>90</v>
      </c>
      <c r="AW58">
        <f t="shared" si="14"/>
        <v>95</v>
      </c>
      <c r="AX58">
        <f t="shared" si="15"/>
        <v>75</v>
      </c>
      <c r="AY58">
        <f t="shared" si="3"/>
        <v>99.800199600399196</v>
      </c>
      <c r="AZ58">
        <f t="shared" si="16"/>
        <v>50</v>
      </c>
      <c r="BA58">
        <f t="shared" si="17"/>
        <v>90.240009980019963</v>
      </c>
      <c r="BB58">
        <f t="shared" si="35"/>
        <v>1</v>
      </c>
      <c r="BC58" t="str">
        <f t="shared" si="19"/>
        <v>BMILK-007</v>
      </c>
    </row>
    <row r="59" spans="2:55" ht="39.6" x14ac:dyDescent="0.3">
      <c r="B59" s="5" t="s">
        <v>29</v>
      </c>
      <c r="C59" s="15" t="s">
        <v>215</v>
      </c>
      <c r="D59" s="5" t="s">
        <v>249</v>
      </c>
      <c r="E59" s="5" t="s">
        <v>250</v>
      </c>
      <c r="F59" s="5" t="s">
        <v>59</v>
      </c>
      <c r="G59" s="5">
        <v>200</v>
      </c>
      <c r="H59" s="5">
        <v>56</v>
      </c>
      <c r="I59" s="5">
        <v>600</v>
      </c>
      <c r="J59" s="5">
        <v>33600</v>
      </c>
      <c r="K59" s="5">
        <v>1</v>
      </c>
      <c r="L59" s="5">
        <v>0.5</v>
      </c>
      <c r="M59" s="5">
        <v>0.4</v>
      </c>
      <c r="N59" s="5">
        <v>98</v>
      </c>
      <c r="O59" s="5">
        <v>20</v>
      </c>
      <c r="P59" s="5" t="s">
        <v>251</v>
      </c>
      <c r="Q59" s="5">
        <v>8.5</v>
      </c>
      <c r="R59" s="5">
        <v>9.5</v>
      </c>
      <c r="S59" s="5" t="s">
        <v>74</v>
      </c>
      <c r="T59" s="5">
        <v>8.8000000000000007</v>
      </c>
      <c r="U59" s="5" t="s">
        <v>36</v>
      </c>
      <c r="V59" s="5" t="s">
        <v>37</v>
      </c>
      <c r="W59" s="5">
        <v>2</v>
      </c>
      <c r="X59" s="5" t="s">
        <v>38</v>
      </c>
      <c r="Y59" s="5">
        <v>1</v>
      </c>
      <c r="Z59" s="5">
        <v>9</v>
      </c>
      <c r="AA59" s="6">
        <v>6.8000000000000005E-2</v>
      </c>
      <c r="AB59" s="5" t="s">
        <v>252</v>
      </c>
      <c r="AC59" s="5" t="s">
        <v>141</v>
      </c>
      <c r="AD59" s="5"/>
      <c r="AF59" s="15" t="s">
        <v>215</v>
      </c>
      <c r="AG59" s="15" t="s">
        <v>250</v>
      </c>
      <c r="AH59">
        <f t="shared" si="32"/>
        <v>50</v>
      </c>
      <c r="AI59">
        <f t="shared" si="4"/>
        <v>85</v>
      </c>
      <c r="AJ59" s="12">
        <f t="shared" si="5"/>
        <v>92</v>
      </c>
      <c r="AK59">
        <f t="shared" si="6"/>
        <v>98</v>
      </c>
      <c r="AL59">
        <f t="shared" si="1"/>
        <v>95</v>
      </c>
      <c r="AM59">
        <f t="shared" si="7"/>
        <v>60</v>
      </c>
      <c r="AN59">
        <f t="shared" si="2"/>
        <v>99.88019976039952</v>
      </c>
      <c r="AO59">
        <f t="shared" si="8"/>
        <v>90</v>
      </c>
      <c r="AP59">
        <f t="shared" si="9"/>
        <v>79.546405992811984</v>
      </c>
      <c r="AQ59">
        <f t="shared" si="34"/>
        <v>8</v>
      </c>
      <c r="AR59" t="str">
        <f t="shared" si="11"/>
        <v>BMILK-008</v>
      </c>
      <c r="AS59" s="15" t="s">
        <v>215</v>
      </c>
      <c r="AT59" s="15" t="s">
        <v>250</v>
      </c>
      <c r="AU59">
        <f t="shared" si="33"/>
        <v>50</v>
      </c>
      <c r="AV59">
        <f t="shared" si="13"/>
        <v>95</v>
      </c>
      <c r="AW59">
        <f t="shared" si="14"/>
        <v>98</v>
      </c>
      <c r="AX59">
        <f t="shared" si="15"/>
        <v>85</v>
      </c>
      <c r="AY59">
        <f t="shared" si="3"/>
        <v>99.88019976039952</v>
      </c>
      <c r="AZ59">
        <f t="shared" si="16"/>
        <v>60</v>
      </c>
      <c r="BA59">
        <f t="shared" si="17"/>
        <v>79.094009988019977</v>
      </c>
      <c r="BB59">
        <f t="shared" si="35"/>
        <v>7</v>
      </c>
      <c r="BC59" t="str">
        <f t="shared" si="19"/>
        <v>BMILK-008</v>
      </c>
    </row>
    <row r="60" spans="2:55" ht="26.4" x14ac:dyDescent="0.3">
      <c r="B60" s="5" t="s">
        <v>29</v>
      </c>
      <c r="C60" s="15" t="s">
        <v>215</v>
      </c>
      <c r="D60" s="5" t="s">
        <v>253</v>
      </c>
      <c r="E60" s="5" t="s">
        <v>254</v>
      </c>
      <c r="F60" s="5" t="s">
        <v>139</v>
      </c>
      <c r="G60" s="5">
        <v>120</v>
      </c>
      <c r="H60" s="5">
        <v>49</v>
      </c>
      <c r="I60" s="5">
        <v>800</v>
      </c>
      <c r="J60" s="5">
        <v>39200</v>
      </c>
      <c r="K60" s="5">
        <v>3</v>
      </c>
      <c r="L60" s="5">
        <v>1</v>
      </c>
      <c r="M60" s="5">
        <v>0.9</v>
      </c>
      <c r="N60" s="5">
        <v>93</v>
      </c>
      <c r="O60" s="5">
        <v>45</v>
      </c>
      <c r="P60" s="5" t="s">
        <v>255</v>
      </c>
      <c r="Q60" s="5">
        <v>7.2</v>
      </c>
      <c r="R60" s="5">
        <v>8.8000000000000007</v>
      </c>
      <c r="S60" s="5" t="s">
        <v>67</v>
      </c>
      <c r="T60" s="5">
        <v>6.8</v>
      </c>
      <c r="U60" s="5" t="s">
        <v>81</v>
      </c>
      <c r="V60" s="5" t="s">
        <v>54</v>
      </c>
      <c r="W60" s="5">
        <v>1</v>
      </c>
      <c r="X60" s="5" t="s">
        <v>38</v>
      </c>
      <c r="Y60" s="5">
        <v>2</v>
      </c>
      <c r="Z60" s="5">
        <v>7.8</v>
      </c>
      <c r="AA60" s="6">
        <v>5.8000000000000003E-2</v>
      </c>
      <c r="AB60" s="5" t="s">
        <v>256</v>
      </c>
      <c r="AC60" s="5" t="s">
        <v>136</v>
      </c>
      <c r="AD60" s="5"/>
      <c r="AF60" s="15" t="s">
        <v>215</v>
      </c>
      <c r="AG60" s="15" t="s">
        <v>254</v>
      </c>
      <c r="AH60">
        <f t="shared" si="32"/>
        <v>88.888888888888886</v>
      </c>
      <c r="AI60">
        <f t="shared" si="4"/>
        <v>72</v>
      </c>
      <c r="AJ60" s="12">
        <f t="shared" si="5"/>
        <v>82</v>
      </c>
      <c r="AK60">
        <f t="shared" si="6"/>
        <v>93</v>
      </c>
      <c r="AL60">
        <f t="shared" si="1"/>
        <v>85</v>
      </c>
      <c r="AM60">
        <f t="shared" si="7"/>
        <v>76</v>
      </c>
      <c r="AN60">
        <f t="shared" si="2"/>
        <v>99.840199680399365</v>
      </c>
      <c r="AO60">
        <f t="shared" si="8"/>
        <v>78</v>
      </c>
      <c r="AP60">
        <f t="shared" si="9"/>
        <v>83.327428212634189</v>
      </c>
      <c r="AQ60">
        <f t="shared" si="34"/>
        <v>6</v>
      </c>
      <c r="AR60" t="str">
        <f t="shared" si="11"/>
        <v>BMILK-009</v>
      </c>
      <c r="AS60" s="15" t="s">
        <v>215</v>
      </c>
      <c r="AT60" s="15" t="s">
        <v>254</v>
      </c>
      <c r="AU60">
        <f t="shared" si="33"/>
        <v>88.888888888888886</v>
      </c>
      <c r="AV60">
        <f t="shared" si="13"/>
        <v>85</v>
      </c>
      <c r="AW60">
        <f t="shared" si="14"/>
        <v>93</v>
      </c>
      <c r="AX60">
        <f t="shared" si="15"/>
        <v>72</v>
      </c>
      <c r="AY60">
        <f t="shared" si="3"/>
        <v>99.840199680399365</v>
      </c>
      <c r="AZ60">
        <f t="shared" si="16"/>
        <v>76</v>
      </c>
      <c r="BA60">
        <f t="shared" si="17"/>
        <v>86.108676650686633</v>
      </c>
      <c r="BB60">
        <f t="shared" si="35"/>
        <v>4</v>
      </c>
      <c r="BC60" t="str">
        <f t="shared" si="19"/>
        <v>BMILK-009</v>
      </c>
    </row>
    <row r="61" spans="2:55" ht="39.6" x14ac:dyDescent="0.3">
      <c r="B61" s="5" t="s">
        <v>29</v>
      </c>
      <c r="C61" s="15" t="s">
        <v>215</v>
      </c>
      <c r="D61" s="5" t="s">
        <v>257</v>
      </c>
      <c r="E61" s="5" t="s">
        <v>258</v>
      </c>
      <c r="F61" s="5" t="s">
        <v>33</v>
      </c>
      <c r="G61" s="5">
        <v>65</v>
      </c>
      <c r="H61" s="5">
        <v>65</v>
      </c>
      <c r="I61" s="5">
        <v>200</v>
      </c>
      <c r="J61" s="5">
        <v>13000</v>
      </c>
      <c r="K61" s="5">
        <v>1</v>
      </c>
      <c r="L61" s="5">
        <v>0.5</v>
      </c>
      <c r="M61" s="5">
        <v>0.2</v>
      </c>
      <c r="N61" s="5">
        <v>97</v>
      </c>
      <c r="O61" s="5">
        <v>15</v>
      </c>
      <c r="P61" s="5" t="s">
        <v>259</v>
      </c>
      <c r="Q61" s="5">
        <v>9.8000000000000007</v>
      </c>
      <c r="R61" s="5">
        <v>9.6</v>
      </c>
      <c r="S61" s="5" t="s">
        <v>260</v>
      </c>
      <c r="T61" s="5">
        <v>9.5</v>
      </c>
      <c r="U61" s="5" t="s">
        <v>53</v>
      </c>
      <c r="V61" s="5" t="s">
        <v>54</v>
      </c>
      <c r="W61" s="5">
        <v>1</v>
      </c>
      <c r="X61" s="5" t="s">
        <v>38</v>
      </c>
      <c r="Y61" s="5">
        <v>1</v>
      </c>
      <c r="Z61" s="5">
        <v>9.3000000000000007</v>
      </c>
      <c r="AA61" s="6">
        <v>7.4999999999999997E-2</v>
      </c>
      <c r="AB61" s="5" t="s">
        <v>261</v>
      </c>
      <c r="AC61" s="5" t="s">
        <v>141</v>
      </c>
      <c r="AD61" s="5"/>
      <c r="AF61" s="15" t="s">
        <v>215</v>
      </c>
      <c r="AG61" s="15" t="s">
        <v>258</v>
      </c>
      <c r="AH61">
        <f t="shared" si="32"/>
        <v>0</v>
      </c>
      <c r="AI61">
        <f t="shared" si="4"/>
        <v>98</v>
      </c>
      <c r="AJ61" s="12">
        <f t="shared" si="5"/>
        <v>96</v>
      </c>
      <c r="AK61">
        <f t="shared" si="6"/>
        <v>97</v>
      </c>
      <c r="AL61">
        <f t="shared" si="1"/>
        <v>95</v>
      </c>
      <c r="AM61">
        <f t="shared" si="7"/>
        <v>87</v>
      </c>
      <c r="AN61">
        <f t="shared" si="2"/>
        <v>99.960199920399845</v>
      </c>
      <c r="AO61">
        <f t="shared" si="8"/>
        <v>93</v>
      </c>
      <c r="AP61">
        <f t="shared" si="9"/>
        <v>72.158805997611992</v>
      </c>
      <c r="AQ61">
        <f t="shared" si="34"/>
        <v>10</v>
      </c>
      <c r="AR61" t="str">
        <f t="shared" si="11"/>
        <v>BMILK-010</v>
      </c>
      <c r="AS61" s="15" t="s">
        <v>215</v>
      </c>
      <c r="AT61" s="15" t="s">
        <v>258</v>
      </c>
      <c r="AU61">
        <f t="shared" si="33"/>
        <v>0</v>
      </c>
      <c r="AV61">
        <f t="shared" si="13"/>
        <v>95</v>
      </c>
      <c r="AW61">
        <f t="shared" si="14"/>
        <v>97</v>
      </c>
      <c r="AX61">
        <f t="shared" si="15"/>
        <v>98</v>
      </c>
      <c r="AY61">
        <f t="shared" si="3"/>
        <v>99.960199920399845</v>
      </c>
      <c r="AZ61">
        <f t="shared" si="16"/>
        <v>87</v>
      </c>
      <c r="BA61">
        <f t="shared" si="17"/>
        <v>67.198009996020005</v>
      </c>
      <c r="BB61">
        <f t="shared" si="35"/>
        <v>10</v>
      </c>
      <c r="BC61" t="str">
        <f t="shared" si="19"/>
        <v>BMILK-010</v>
      </c>
    </row>
    <row r="62" spans="2:55" ht="39.6" x14ac:dyDescent="0.3">
      <c r="B62" s="5" t="s">
        <v>29</v>
      </c>
      <c r="C62" s="15" t="s">
        <v>262</v>
      </c>
      <c r="D62" s="5" t="s">
        <v>263</v>
      </c>
      <c r="E62" s="5" t="s">
        <v>264</v>
      </c>
      <c r="F62" s="5" t="s">
        <v>265</v>
      </c>
      <c r="G62" s="5">
        <v>25</v>
      </c>
      <c r="H62" s="5">
        <v>12500</v>
      </c>
      <c r="I62" s="5">
        <v>5</v>
      </c>
      <c r="J62" s="5">
        <v>62500</v>
      </c>
      <c r="K62" s="5">
        <v>10</v>
      </c>
      <c r="L62" s="5">
        <v>5</v>
      </c>
      <c r="M62" s="5">
        <v>0.1</v>
      </c>
      <c r="N62" s="5">
        <v>96</v>
      </c>
      <c r="O62" s="5">
        <v>30</v>
      </c>
      <c r="P62" s="5" t="s">
        <v>266</v>
      </c>
      <c r="Q62" s="5">
        <v>9.6999999999999993</v>
      </c>
      <c r="R62" s="5">
        <v>8.8000000000000007</v>
      </c>
      <c r="S62" s="5" t="s">
        <v>267</v>
      </c>
      <c r="T62" s="5">
        <v>8.5</v>
      </c>
      <c r="U62" s="5" t="s">
        <v>36</v>
      </c>
      <c r="V62" s="5" t="s">
        <v>37</v>
      </c>
      <c r="W62" s="5">
        <v>2</v>
      </c>
      <c r="X62" s="5" t="s">
        <v>38</v>
      </c>
      <c r="Y62" s="5">
        <v>60</v>
      </c>
      <c r="Z62" s="5">
        <v>8.8000000000000007</v>
      </c>
      <c r="AA62" s="5" t="s">
        <v>268</v>
      </c>
      <c r="AB62" s="5" t="s">
        <v>269</v>
      </c>
      <c r="AC62" s="5" t="s">
        <v>270</v>
      </c>
      <c r="AD62" s="5" t="s">
        <v>271</v>
      </c>
      <c r="AF62" s="15" t="s">
        <v>262</v>
      </c>
      <c r="AG62" s="15" t="s">
        <v>264</v>
      </c>
      <c r="AH62">
        <f t="shared" ref="AH62:AH69" si="36">100-((H62-MIN($H$62:$H$69))/(MAX($H$62:$H$69)-MIN($H$62:$H$69))*100)</f>
        <v>47.777777777777771</v>
      </c>
      <c r="AI62">
        <f t="shared" si="4"/>
        <v>97</v>
      </c>
      <c r="AJ62" s="12">
        <f t="shared" si="5"/>
        <v>98</v>
      </c>
      <c r="AK62">
        <f t="shared" si="6"/>
        <v>96</v>
      </c>
      <c r="AL62">
        <f t="shared" si="1"/>
        <v>50</v>
      </c>
      <c r="AM62">
        <f t="shared" si="7"/>
        <v>95</v>
      </c>
      <c r="AN62">
        <f t="shared" si="2"/>
        <v>99.999199998400002</v>
      </c>
      <c r="AO62">
        <f t="shared" si="8"/>
        <v>88</v>
      </c>
      <c r="AP62">
        <f t="shared" si="9"/>
        <v>79.804420444396456</v>
      </c>
      <c r="AQ62">
        <f>RANK(AP62, $AP$62:$AP$69, 0)</f>
        <v>4</v>
      </c>
      <c r="AR62" t="str">
        <f t="shared" si="11"/>
        <v>PRO-001</v>
      </c>
      <c r="AS62" s="15" t="s">
        <v>262</v>
      </c>
      <c r="AT62" s="15" t="s">
        <v>264</v>
      </c>
      <c r="AU62">
        <f t="shared" ref="AU62:AU69" si="37">100-((H62-MIN($H$62:$H$69))/(MAX($H$62:$H$69)-MIN($H$62:$H$69))*100)</f>
        <v>47.777777777777771</v>
      </c>
      <c r="AV62">
        <f t="shared" si="13"/>
        <v>50</v>
      </c>
      <c r="AW62">
        <f t="shared" si="14"/>
        <v>96</v>
      </c>
      <c r="AX62">
        <f t="shared" si="15"/>
        <v>97</v>
      </c>
      <c r="AY62">
        <f t="shared" si="3"/>
        <v>99.999199998400002</v>
      </c>
      <c r="AZ62">
        <f t="shared" si="16"/>
        <v>95</v>
      </c>
      <c r="BA62">
        <f t="shared" si="17"/>
        <v>70.333293333253323</v>
      </c>
      <c r="BB62">
        <f>RANK(BA62, $BA$62:$BA$69, 0)</f>
        <v>4</v>
      </c>
      <c r="BC62" t="str">
        <f t="shared" si="19"/>
        <v>PRO-001</v>
      </c>
    </row>
    <row r="63" spans="2:55" ht="39.6" x14ac:dyDescent="0.3">
      <c r="B63" s="5" t="s">
        <v>29</v>
      </c>
      <c r="C63" s="15" t="s">
        <v>262</v>
      </c>
      <c r="D63" s="5" t="s">
        <v>272</v>
      </c>
      <c r="E63" s="5" t="s">
        <v>273</v>
      </c>
      <c r="F63" s="5" t="s">
        <v>84</v>
      </c>
      <c r="G63" s="5">
        <v>150</v>
      </c>
      <c r="H63" s="5">
        <v>14200</v>
      </c>
      <c r="I63" s="5">
        <v>2</v>
      </c>
      <c r="J63" s="5">
        <v>28400</v>
      </c>
      <c r="K63" s="5">
        <v>14</v>
      </c>
      <c r="L63" s="5">
        <v>7</v>
      </c>
      <c r="M63" s="5">
        <v>0.05</v>
      </c>
      <c r="N63" s="5">
        <v>94</v>
      </c>
      <c r="O63" s="5" t="s">
        <v>154</v>
      </c>
      <c r="P63" s="5" t="s">
        <v>274</v>
      </c>
      <c r="Q63" s="5">
        <v>9.9</v>
      </c>
      <c r="R63" s="5">
        <v>8.1999999999999993</v>
      </c>
      <c r="S63" s="5" t="s">
        <v>275</v>
      </c>
      <c r="T63" s="5">
        <v>9</v>
      </c>
      <c r="U63" s="5" t="s">
        <v>36</v>
      </c>
      <c r="V63" s="5" t="s">
        <v>46</v>
      </c>
      <c r="W63" s="5">
        <v>1</v>
      </c>
      <c r="X63" s="5" t="s">
        <v>38</v>
      </c>
      <c r="Y63" s="5">
        <v>90</v>
      </c>
      <c r="Z63" s="5">
        <v>8.5</v>
      </c>
      <c r="AA63" s="5" t="s">
        <v>276</v>
      </c>
      <c r="AB63" s="5" t="s">
        <v>277</v>
      </c>
      <c r="AC63" s="5" t="s">
        <v>278</v>
      </c>
      <c r="AD63" s="5" t="s">
        <v>271</v>
      </c>
      <c r="AF63" s="15" t="s">
        <v>262</v>
      </c>
      <c r="AG63" s="15" t="s">
        <v>273</v>
      </c>
      <c r="AH63">
        <f t="shared" si="36"/>
        <v>28.888888888888886</v>
      </c>
      <c r="AI63">
        <f t="shared" si="4"/>
        <v>99</v>
      </c>
      <c r="AJ63" s="12">
        <f t="shared" si="5"/>
        <v>99</v>
      </c>
      <c r="AK63">
        <f t="shared" si="6"/>
        <v>94</v>
      </c>
      <c r="AL63">
        <f t="shared" si="1"/>
        <v>30</v>
      </c>
      <c r="AM63">
        <f t="shared" si="7"/>
        <v>70</v>
      </c>
      <c r="AN63">
        <f t="shared" si="2"/>
        <v>99.9997999996</v>
      </c>
      <c r="AO63">
        <f t="shared" si="8"/>
        <v>85</v>
      </c>
      <c r="AP63">
        <f t="shared" si="9"/>
        <v>72.122216222210213</v>
      </c>
      <c r="AQ63">
        <f t="shared" ref="AQ63:AQ69" si="38">RANK(AP63, $AP$62:$AP$69, 0)</f>
        <v>6</v>
      </c>
      <c r="AR63" t="str">
        <f t="shared" si="11"/>
        <v>PRO-002</v>
      </c>
      <c r="AS63" s="15" t="s">
        <v>262</v>
      </c>
      <c r="AT63" s="15" t="s">
        <v>273</v>
      </c>
      <c r="AU63">
        <f t="shared" si="37"/>
        <v>28.888888888888886</v>
      </c>
      <c r="AV63">
        <f t="shared" si="13"/>
        <v>30</v>
      </c>
      <c r="AW63">
        <f t="shared" si="14"/>
        <v>94</v>
      </c>
      <c r="AX63">
        <f t="shared" si="15"/>
        <v>99</v>
      </c>
      <c r="AY63">
        <f t="shared" si="3"/>
        <v>99.9997999996</v>
      </c>
      <c r="AZ63">
        <f t="shared" si="16"/>
        <v>70</v>
      </c>
      <c r="BA63">
        <f t="shared" si="17"/>
        <v>58.316656666646672</v>
      </c>
      <c r="BB63">
        <f t="shared" ref="BB63:BB69" si="39">RANK(BA63, $BA$62:$BA$69, 0)</f>
        <v>6</v>
      </c>
      <c r="BC63" t="str">
        <f t="shared" si="19"/>
        <v>PRO-002</v>
      </c>
    </row>
    <row r="64" spans="2:55" ht="39.6" x14ac:dyDescent="0.3">
      <c r="B64" s="5" t="s">
        <v>29</v>
      </c>
      <c r="C64" s="15" t="s">
        <v>262</v>
      </c>
      <c r="D64" s="5" t="s">
        <v>279</v>
      </c>
      <c r="E64" s="5" t="s">
        <v>280</v>
      </c>
      <c r="F64" s="5" t="s">
        <v>72</v>
      </c>
      <c r="G64" s="5">
        <v>20</v>
      </c>
      <c r="H64" s="5">
        <v>9500</v>
      </c>
      <c r="I64" s="5">
        <v>10</v>
      </c>
      <c r="J64" s="5">
        <v>95000</v>
      </c>
      <c r="K64" s="5">
        <v>7</v>
      </c>
      <c r="L64" s="5">
        <v>3</v>
      </c>
      <c r="M64" s="5">
        <v>0.3</v>
      </c>
      <c r="N64" s="5">
        <v>97</v>
      </c>
      <c r="O64" s="5">
        <v>45</v>
      </c>
      <c r="P64" s="5" t="s">
        <v>281</v>
      </c>
      <c r="Q64" s="5">
        <v>8.5</v>
      </c>
      <c r="R64" s="5">
        <v>9.4</v>
      </c>
      <c r="S64" s="5" t="s">
        <v>67</v>
      </c>
      <c r="T64" s="5">
        <v>7.8</v>
      </c>
      <c r="U64" s="5" t="s">
        <v>53</v>
      </c>
      <c r="V64" s="5" t="s">
        <v>54</v>
      </c>
      <c r="W64" s="5">
        <v>1</v>
      </c>
      <c r="X64" s="5" t="s">
        <v>38</v>
      </c>
      <c r="Y64" s="5">
        <v>45</v>
      </c>
      <c r="Z64" s="5">
        <v>9</v>
      </c>
      <c r="AA64" s="5" t="s">
        <v>47</v>
      </c>
      <c r="AB64" s="5" t="s">
        <v>282</v>
      </c>
      <c r="AC64" s="5" t="s">
        <v>283</v>
      </c>
      <c r="AD64" s="5" t="s">
        <v>284</v>
      </c>
      <c r="AF64" s="15" t="s">
        <v>262</v>
      </c>
      <c r="AG64" s="15" t="s">
        <v>280</v>
      </c>
      <c r="AH64">
        <f t="shared" si="36"/>
        <v>81.111111111111114</v>
      </c>
      <c r="AI64">
        <f t="shared" si="4"/>
        <v>85</v>
      </c>
      <c r="AJ64" s="12">
        <f t="shared" si="5"/>
        <v>94</v>
      </c>
      <c r="AK64">
        <f t="shared" si="6"/>
        <v>97</v>
      </c>
      <c r="AL64">
        <f t="shared" si="1"/>
        <v>65</v>
      </c>
      <c r="AM64">
        <f t="shared" si="7"/>
        <v>96</v>
      </c>
      <c r="AN64">
        <f t="shared" si="2"/>
        <v>99.99819999639999</v>
      </c>
      <c r="AO64">
        <f t="shared" si="8"/>
        <v>90</v>
      </c>
      <c r="AP64">
        <f t="shared" si="9"/>
        <v>86.277723777669777</v>
      </c>
      <c r="AQ64">
        <f t="shared" si="38"/>
        <v>2</v>
      </c>
      <c r="AR64" t="str">
        <f t="shared" si="11"/>
        <v>PRO-003</v>
      </c>
      <c r="AS64" s="15" t="s">
        <v>262</v>
      </c>
      <c r="AT64" s="15" t="s">
        <v>280</v>
      </c>
      <c r="AU64">
        <f t="shared" si="37"/>
        <v>81.111111111111114</v>
      </c>
      <c r="AV64">
        <f t="shared" si="13"/>
        <v>65</v>
      </c>
      <c r="AW64">
        <f t="shared" si="14"/>
        <v>97</v>
      </c>
      <c r="AX64">
        <f t="shared" si="15"/>
        <v>85</v>
      </c>
      <c r="AY64">
        <f t="shared" si="3"/>
        <v>99.99819999639999</v>
      </c>
      <c r="AZ64">
        <f t="shared" si="16"/>
        <v>96</v>
      </c>
      <c r="BA64">
        <f t="shared" si="17"/>
        <v>82.533243333153337</v>
      </c>
      <c r="BB64">
        <f t="shared" si="39"/>
        <v>2</v>
      </c>
      <c r="BC64" t="str">
        <f t="shared" si="19"/>
        <v>PRO-003</v>
      </c>
    </row>
    <row r="65" spans="2:55" ht="39.6" x14ac:dyDescent="0.3">
      <c r="B65" s="5" t="s">
        <v>29</v>
      </c>
      <c r="C65" s="15" t="s">
        <v>262</v>
      </c>
      <c r="D65" s="5" t="s">
        <v>285</v>
      </c>
      <c r="E65" s="5" t="s">
        <v>286</v>
      </c>
      <c r="F65" s="5" t="s">
        <v>50</v>
      </c>
      <c r="G65" s="5">
        <v>150</v>
      </c>
      <c r="H65" s="5">
        <v>15800</v>
      </c>
      <c r="I65" s="5">
        <v>1</v>
      </c>
      <c r="J65" s="5">
        <v>15800</v>
      </c>
      <c r="K65" s="5">
        <v>21</v>
      </c>
      <c r="L65" s="5">
        <v>10</v>
      </c>
      <c r="M65" s="5">
        <v>0.02</v>
      </c>
      <c r="N65" s="5">
        <v>90</v>
      </c>
      <c r="O65" s="5" t="s">
        <v>159</v>
      </c>
      <c r="P65" s="5" t="s">
        <v>287</v>
      </c>
      <c r="Q65" s="5">
        <v>9.9</v>
      </c>
      <c r="R65" s="5">
        <v>7.8</v>
      </c>
      <c r="S65" s="5" t="s">
        <v>288</v>
      </c>
      <c r="T65" s="5">
        <v>9.1999999999999993</v>
      </c>
      <c r="U65" s="5" t="s">
        <v>36</v>
      </c>
      <c r="V65" s="5" t="s">
        <v>37</v>
      </c>
      <c r="W65" s="5">
        <v>1</v>
      </c>
      <c r="X65" s="5" t="s">
        <v>68</v>
      </c>
      <c r="Y65" s="5">
        <v>120</v>
      </c>
      <c r="Z65" s="5">
        <v>7.5</v>
      </c>
      <c r="AA65" s="5" t="s">
        <v>40</v>
      </c>
      <c r="AB65" s="5" t="s">
        <v>289</v>
      </c>
      <c r="AC65" s="5" t="s">
        <v>290</v>
      </c>
      <c r="AD65" s="5" t="s">
        <v>291</v>
      </c>
      <c r="AF65" s="15" t="s">
        <v>262</v>
      </c>
      <c r="AG65" s="15" t="s">
        <v>286</v>
      </c>
      <c r="AH65">
        <f t="shared" si="36"/>
        <v>11.111111111111114</v>
      </c>
      <c r="AI65">
        <f t="shared" si="4"/>
        <v>99</v>
      </c>
      <c r="AJ65" s="12">
        <f t="shared" si="5"/>
        <v>99.6</v>
      </c>
      <c r="AK65">
        <f t="shared" si="6"/>
        <v>90</v>
      </c>
      <c r="AL65">
        <f t="shared" si="1"/>
        <v>0</v>
      </c>
      <c r="AM65">
        <f t="shared" si="7"/>
        <v>70</v>
      </c>
      <c r="AN65">
        <f t="shared" si="2"/>
        <v>100</v>
      </c>
      <c r="AO65">
        <f t="shared" si="8"/>
        <v>75</v>
      </c>
      <c r="AP65">
        <f t="shared" si="9"/>
        <v>63.967777777777776</v>
      </c>
      <c r="AQ65">
        <f t="shared" si="38"/>
        <v>7</v>
      </c>
      <c r="AR65" t="str">
        <f t="shared" si="11"/>
        <v>PRO-004</v>
      </c>
      <c r="AS65" s="15" t="s">
        <v>262</v>
      </c>
      <c r="AT65" s="15" t="s">
        <v>286</v>
      </c>
      <c r="AU65">
        <f t="shared" si="37"/>
        <v>11.111111111111114</v>
      </c>
      <c r="AV65">
        <f t="shared" si="13"/>
        <v>0</v>
      </c>
      <c r="AW65">
        <f t="shared" si="14"/>
        <v>90</v>
      </c>
      <c r="AX65">
        <f t="shared" si="15"/>
        <v>99</v>
      </c>
      <c r="AY65">
        <f t="shared" si="3"/>
        <v>100</v>
      </c>
      <c r="AZ65">
        <f t="shared" si="16"/>
        <v>70</v>
      </c>
      <c r="BA65">
        <f t="shared" si="17"/>
        <v>44.683333333333337</v>
      </c>
      <c r="BB65">
        <f t="shared" si="39"/>
        <v>7</v>
      </c>
      <c r="BC65" t="str">
        <f t="shared" si="19"/>
        <v>PRO-004</v>
      </c>
    </row>
    <row r="66" spans="2:55" ht="52.8" x14ac:dyDescent="0.3">
      <c r="B66" s="5" t="s">
        <v>29</v>
      </c>
      <c r="C66" s="15" t="s">
        <v>262</v>
      </c>
      <c r="D66" s="5" t="s">
        <v>292</v>
      </c>
      <c r="E66" s="5" t="s">
        <v>293</v>
      </c>
      <c r="F66" s="5" t="s">
        <v>50</v>
      </c>
      <c r="G66" s="5">
        <v>150</v>
      </c>
      <c r="H66" s="5">
        <v>13500</v>
      </c>
      <c r="I66" s="5">
        <v>3</v>
      </c>
      <c r="J66" s="5">
        <v>40500</v>
      </c>
      <c r="K66" s="5">
        <v>14</v>
      </c>
      <c r="L66" s="5">
        <v>7</v>
      </c>
      <c r="M66" s="5">
        <v>0.08</v>
      </c>
      <c r="N66" s="5">
        <v>92</v>
      </c>
      <c r="O66" s="5" t="s">
        <v>294</v>
      </c>
      <c r="P66" s="5" t="s">
        <v>295</v>
      </c>
      <c r="Q66" s="5">
        <v>9.5</v>
      </c>
      <c r="R66" s="5">
        <v>8.5</v>
      </c>
      <c r="S66" s="5" t="s">
        <v>296</v>
      </c>
      <c r="T66" s="5">
        <v>8.8000000000000007</v>
      </c>
      <c r="U66" s="5" t="s">
        <v>36</v>
      </c>
      <c r="V66" s="5" t="s">
        <v>46</v>
      </c>
      <c r="W66" s="5">
        <v>2</v>
      </c>
      <c r="X66" s="5" t="s">
        <v>38</v>
      </c>
      <c r="Y66" s="5">
        <v>75</v>
      </c>
      <c r="Z66" s="5">
        <v>8.1999999999999993</v>
      </c>
      <c r="AA66" s="5" t="s">
        <v>268</v>
      </c>
      <c r="AB66" s="5" t="s">
        <v>297</v>
      </c>
      <c r="AC66" s="5" t="s">
        <v>298</v>
      </c>
      <c r="AD66" s="5" t="s">
        <v>271</v>
      </c>
      <c r="AF66" s="15" t="s">
        <v>262</v>
      </c>
      <c r="AG66" s="15" t="s">
        <v>293</v>
      </c>
      <c r="AH66">
        <f t="shared" si="36"/>
        <v>36.666666666666671</v>
      </c>
      <c r="AI66">
        <f t="shared" si="4"/>
        <v>95</v>
      </c>
      <c r="AJ66" s="12">
        <f t="shared" si="5"/>
        <v>98.4</v>
      </c>
      <c r="AK66">
        <f t="shared" si="6"/>
        <v>92</v>
      </c>
      <c r="AL66">
        <f t="shared" si="1"/>
        <v>30</v>
      </c>
      <c r="AM66">
        <f t="shared" si="7"/>
        <v>70</v>
      </c>
      <c r="AN66">
        <f t="shared" si="2"/>
        <v>99.999599999200001</v>
      </c>
      <c r="AO66">
        <f t="shared" si="8"/>
        <v>82</v>
      </c>
      <c r="AP66">
        <f t="shared" si="9"/>
        <v>72.61665466664266</v>
      </c>
      <c r="AQ66">
        <f t="shared" si="38"/>
        <v>5</v>
      </c>
      <c r="AR66" t="str">
        <f t="shared" si="11"/>
        <v>PRO-005</v>
      </c>
      <c r="AS66" s="15" t="s">
        <v>262</v>
      </c>
      <c r="AT66" s="15" t="s">
        <v>293</v>
      </c>
      <c r="AU66">
        <f t="shared" si="37"/>
        <v>36.666666666666671</v>
      </c>
      <c r="AV66">
        <f t="shared" si="13"/>
        <v>30</v>
      </c>
      <c r="AW66">
        <f t="shared" si="14"/>
        <v>92</v>
      </c>
      <c r="AX66">
        <f t="shared" si="15"/>
        <v>95</v>
      </c>
      <c r="AY66">
        <f t="shared" si="3"/>
        <v>99.999599999200001</v>
      </c>
      <c r="AZ66">
        <f t="shared" si="16"/>
        <v>70</v>
      </c>
      <c r="BA66">
        <f t="shared" si="17"/>
        <v>59.64997999996001</v>
      </c>
      <c r="BB66">
        <f t="shared" si="39"/>
        <v>5</v>
      </c>
      <c r="BC66" t="str">
        <f t="shared" si="19"/>
        <v>PRO-005</v>
      </c>
    </row>
    <row r="67" spans="2:55" ht="39.6" x14ac:dyDescent="0.3">
      <c r="B67" s="5" t="s">
        <v>29</v>
      </c>
      <c r="C67" s="15" t="s">
        <v>262</v>
      </c>
      <c r="D67" s="5" t="s">
        <v>299</v>
      </c>
      <c r="E67" s="5" t="s">
        <v>300</v>
      </c>
      <c r="F67" s="5" t="s">
        <v>50</v>
      </c>
      <c r="G67" s="5">
        <v>150</v>
      </c>
      <c r="H67" s="5">
        <v>8800</v>
      </c>
      <c r="I67" s="5">
        <v>20</v>
      </c>
      <c r="J67" s="5">
        <v>176000</v>
      </c>
      <c r="K67" s="5">
        <v>10</v>
      </c>
      <c r="L67" s="5">
        <v>5</v>
      </c>
      <c r="M67" s="5">
        <v>0.4</v>
      </c>
      <c r="N67" s="5">
        <v>95</v>
      </c>
      <c r="O67" s="5">
        <v>60</v>
      </c>
      <c r="P67" s="5" t="s">
        <v>301</v>
      </c>
      <c r="Q67" s="5">
        <v>8</v>
      </c>
      <c r="R67" s="5">
        <v>8.8000000000000007</v>
      </c>
      <c r="S67" s="5" t="s">
        <v>67</v>
      </c>
      <c r="T67" s="5">
        <v>7.5</v>
      </c>
      <c r="U67" s="5" t="s">
        <v>53</v>
      </c>
      <c r="V67" s="5" t="s">
        <v>54</v>
      </c>
      <c r="W67" s="5">
        <v>3</v>
      </c>
      <c r="X67" s="5" t="s">
        <v>38</v>
      </c>
      <c r="Y67" s="5">
        <v>30</v>
      </c>
      <c r="Z67" s="5">
        <v>8</v>
      </c>
      <c r="AA67" s="5" t="s">
        <v>54</v>
      </c>
      <c r="AB67" s="5" t="s">
        <v>302</v>
      </c>
      <c r="AC67" s="5" t="s">
        <v>303</v>
      </c>
      <c r="AD67" s="5" t="s">
        <v>284</v>
      </c>
      <c r="AF67" s="15" t="s">
        <v>262</v>
      </c>
      <c r="AG67" s="15" t="s">
        <v>300</v>
      </c>
      <c r="AH67">
        <f t="shared" si="36"/>
        <v>88.888888888888886</v>
      </c>
      <c r="AI67">
        <f t="shared" si="4"/>
        <v>80</v>
      </c>
      <c r="AJ67" s="12">
        <f t="shared" si="5"/>
        <v>92</v>
      </c>
      <c r="AK67">
        <f t="shared" si="6"/>
        <v>95</v>
      </c>
      <c r="AL67">
        <f t="shared" si="1"/>
        <v>50</v>
      </c>
      <c r="AM67">
        <f t="shared" si="7"/>
        <v>70</v>
      </c>
      <c r="AN67">
        <f t="shared" si="2"/>
        <v>99.99619999239998</v>
      </c>
      <c r="AO67">
        <f t="shared" si="8"/>
        <v>80</v>
      </c>
      <c r="AP67">
        <f t="shared" si="9"/>
        <v>83.37210822199421</v>
      </c>
      <c r="AQ67">
        <f t="shared" si="38"/>
        <v>3</v>
      </c>
      <c r="AR67" t="str">
        <f t="shared" si="11"/>
        <v>PRO-006</v>
      </c>
      <c r="AS67" s="15" t="s">
        <v>262</v>
      </c>
      <c r="AT67" s="15" t="s">
        <v>300</v>
      </c>
      <c r="AU67">
        <f t="shared" si="37"/>
        <v>88.888888888888886</v>
      </c>
      <c r="AV67">
        <f t="shared" si="13"/>
        <v>50</v>
      </c>
      <c r="AW67">
        <f t="shared" si="14"/>
        <v>95</v>
      </c>
      <c r="AX67">
        <f t="shared" si="15"/>
        <v>80</v>
      </c>
      <c r="AY67">
        <f t="shared" si="3"/>
        <v>99.99619999239998</v>
      </c>
      <c r="AZ67">
        <f t="shared" si="16"/>
        <v>70</v>
      </c>
      <c r="BA67">
        <f t="shared" si="17"/>
        <v>78.666476666286655</v>
      </c>
      <c r="BB67">
        <f t="shared" si="39"/>
        <v>3</v>
      </c>
      <c r="BC67" t="str">
        <f t="shared" si="19"/>
        <v>PRO-006</v>
      </c>
    </row>
    <row r="68" spans="2:55" ht="39.6" x14ac:dyDescent="0.3">
      <c r="B68" s="5" t="s">
        <v>29</v>
      </c>
      <c r="C68" s="15" t="s">
        <v>262</v>
      </c>
      <c r="D68" s="5" t="s">
        <v>304</v>
      </c>
      <c r="E68" s="5" t="s">
        <v>305</v>
      </c>
      <c r="F68" s="5" t="s">
        <v>72</v>
      </c>
      <c r="G68" s="5">
        <v>15</v>
      </c>
      <c r="H68" s="5">
        <v>16800</v>
      </c>
      <c r="I68" s="5">
        <v>2</v>
      </c>
      <c r="J68" s="5">
        <v>33600</v>
      </c>
      <c r="K68" s="5">
        <v>21</v>
      </c>
      <c r="L68" s="5">
        <v>10</v>
      </c>
      <c r="M68" s="5">
        <v>0.01</v>
      </c>
      <c r="N68" s="5">
        <v>88</v>
      </c>
      <c r="O68" s="5" t="s">
        <v>154</v>
      </c>
      <c r="P68" s="5" t="s">
        <v>306</v>
      </c>
      <c r="Q68" s="5">
        <v>9.8000000000000007</v>
      </c>
      <c r="R68" s="5">
        <v>7.5</v>
      </c>
      <c r="S68" s="5" t="s">
        <v>307</v>
      </c>
      <c r="T68" s="5">
        <v>9.5</v>
      </c>
      <c r="U68" s="5" t="s">
        <v>36</v>
      </c>
      <c r="V68" s="5" t="s">
        <v>37</v>
      </c>
      <c r="W68" s="5">
        <v>1</v>
      </c>
      <c r="X68" s="5" t="s">
        <v>68</v>
      </c>
      <c r="Y68" s="5">
        <v>100</v>
      </c>
      <c r="Z68" s="5">
        <v>7.8</v>
      </c>
      <c r="AA68" s="5" t="s">
        <v>308</v>
      </c>
      <c r="AB68" s="5" t="s">
        <v>309</v>
      </c>
      <c r="AC68" s="5" t="s">
        <v>310</v>
      </c>
      <c r="AD68" s="5" t="s">
        <v>311</v>
      </c>
      <c r="AF68" s="15" t="s">
        <v>262</v>
      </c>
      <c r="AG68" s="15" t="s">
        <v>305</v>
      </c>
      <c r="AH68">
        <f t="shared" si="36"/>
        <v>0</v>
      </c>
      <c r="AI68">
        <f t="shared" si="4"/>
        <v>98</v>
      </c>
      <c r="AJ68" s="12">
        <f t="shared" si="5"/>
        <v>99.8</v>
      </c>
      <c r="AK68">
        <f t="shared" si="6"/>
        <v>88</v>
      </c>
      <c r="AL68">
        <f t="shared" si="1"/>
        <v>0</v>
      </c>
      <c r="AM68">
        <f t="shared" si="7"/>
        <v>97</v>
      </c>
      <c r="AN68">
        <f t="shared" si="2"/>
        <v>99.9997999996</v>
      </c>
      <c r="AO68">
        <f t="shared" si="8"/>
        <v>78</v>
      </c>
      <c r="AP68">
        <f t="shared" si="9"/>
        <v>62.079993999988005</v>
      </c>
      <c r="AQ68">
        <f t="shared" si="38"/>
        <v>8</v>
      </c>
      <c r="AR68" t="str">
        <f t="shared" si="11"/>
        <v>PRO-007</v>
      </c>
      <c r="AS68" s="15" t="s">
        <v>262</v>
      </c>
      <c r="AT68" s="15" t="s">
        <v>305</v>
      </c>
      <c r="AU68">
        <f t="shared" si="37"/>
        <v>0</v>
      </c>
      <c r="AV68">
        <f t="shared" si="13"/>
        <v>0</v>
      </c>
      <c r="AW68">
        <f t="shared" si="14"/>
        <v>88</v>
      </c>
      <c r="AX68">
        <f t="shared" si="15"/>
        <v>98</v>
      </c>
      <c r="AY68">
        <f t="shared" si="3"/>
        <v>99.9997999996</v>
      </c>
      <c r="AZ68">
        <f t="shared" si="16"/>
        <v>97</v>
      </c>
      <c r="BA68">
        <f t="shared" si="17"/>
        <v>42.149989999980001</v>
      </c>
      <c r="BB68">
        <f t="shared" si="39"/>
        <v>8</v>
      </c>
      <c r="BC68" t="str">
        <f t="shared" si="19"/>
        <v>PRO-007</v>
      </c>
    </row>
    <row r="69" spans="2:55" ht="39.6" x14ac:dyDescent="0.3">
      <c r="B69" s="5" t="s">
        <v>29</v>
      </c>
      <c r="C69" s="15" t="s">
        <v>262</v>
      </c>
      <c r="D69" s="5" t="s">
        <v>312</v>
      </c>
      <c r="E69" s="5" t="s">
        <v>313</v>
      </c>
      <c r="F69" s="5" t="s">
        <v>33</v>
      </c>
      <c r="G69" s="5">
        <v>65</v>
      </c>
      <c r="H69" s="5">
        <v>7800</v>
      </c>
      <c r="I69" s="5">
        <v>15</v>
      </c>
      <c r="J69" s="5">
        <v>117000</v>
      </c>
      <c r="K69" s="5">
        <v>5</v>
      </c>
      <c r="L69" s="5">
        <v>2</v>
      </c>
      <c r="M69" s="5">
        <v>0.5</v>
      </c>
      <c r="N69" s="5">
        <v>96</v>
      </c>
      <c r="O69" s="5">
        <v>30</v>
      </c>
      <c r="P69" s="5" t="s">
        <v>314</v>
      </c>
      <c r="Q69" s="5">
        <v>7.8</v>
      </c>
      <c r="R69" s="5">
        <v>9</v>
      </c>
      <c r="S69" s="5" t="s">
        <v>67</v>
      </c>
      <c r="T69" s="5">
        <v>7</v>
      </c>
      <c r="U69" s="5" t="s">
        <v>53</v>
      </c>
      <c r="V69" s="5" t="s">
        <v>54</v>
      </c>
      <c r="W69" s="5">
        <v>2</v>
      </c>
      <c r="X69" s="5" t="s">
        <v>38</v>
      </c>
      <c r="Y69" s="5">
        <v>40</v>
      </c>
      <c r="Z69" s="5">
        <v>8.5</v>
      </c>
      <c r="AA69" s="5" t="s">
        <v>131</v>
      </c>
      <c r="AB69" s="5" t="s">
        <v>315</v>
      </c>
      <c r="AC69" s="5" t="s">
        <v>316</v>
      </c>
      <c r="AD69" s="5" t="s">
        <v>284</v>
      </c>
      <c r="AF69" s="15" t="s">
        <v>262</v>
      </c>
      <c r="AG69" s="15" t="s">
        <v>313</v>
      </c>
      <c r="AH69">
        <f t="shared" si="36"/>
        <v>100</v>
      </c>
      <c r="AI69">
        <f t="shared" si="4"/>
        <v>78</v>
      </c>
      <c r="AJ69" s="12">
        <f t="shared" si="5"/>
        <v>90</v>
      </c>
      <c r="AK69">
        <f t="shared" si="6"/>
        <v>96</v>
      </c>
      <c r="AL69">
        <f t="shared" si="1"/>
        <v>75</v>
      </c>
      <c r="AM69">
        <f t="shared" si="7"/>
        <v>87</v>
      </c>
      <c r="AN69">
        <f t="shared" si="2"/>
        <v>99.997199994399992</v>
      </c>
      <c r="AO69">
        <f t="shared" si="8"/>
        <v>85</v>
      </c>
      <c r="AP69">
        <f t="shared" si="9"/>
        <v>88.949915999832001</v>
      </c>
      <c r="AQ69">
        <f t="shared" si="38"/>
        <v>1</v>
      </c>
      <c r="AR69" t="str">
        <f t="shared" si="11"/>
        <v>PRO-008</v>
      </c>
      <c r="AS69" s="15" t="s">
        <v>262</v>
      </c>
      <c r="AT69" s="15" t="s">
        <v>313</v>
      </c>
      <c r="AU69">
        <f t="shared" si="37"/>
        <v>100</v>
      </c>
      <c r="AV69">
        <f t="shared" si="13"/>
        <v>75</v>
      </c>
      <c r="AW69">
        <f t="shared" si="14"/>
        <v>96</v>
      </c>
      <c r="AX69">
        <f t="shared" si="15"/>
        <v>78</v>
      </c>
      <c r="AY69">
        <f t="shared" si="3"/>
        <v>99.997199994399992</v>
      </c>
      <c r="AZ69">
        <f t="shared" si="16"/>
        <v>87</v>
      </c>
      <c r="BA69">
        <f t="shared" si="17"/>
        <v>88.999859999720002</v>
      </c>
      <c r="BB69">
        <f t="shared" si="39"/>
        <v>1</v>
      </c>
      <c r="BC69" t="str">
        <f t="shared" si="19"/>
        <v>PRO-008</v>
      </c>
    </row>
    <row r="70" spans="2:55" ht="39.6" x14ac:dyDescent="0.3">
      <c r="B70" s="5" t="s">
        <v>29</v>
      </c>
      <c r="C70" s="15" t="s">
        <v>317</v>
      </c>
      <c r="D70" s="5" t="s">
        <v>318</v>
      </c>
      <c r="E70" s="5" t="s">
        <v>319</v>
      </c>
      <c r="F70" s="5" t="s">
        <v>72</v>
      </c>
      <c r="G70" s="5">
        <v>15</v>
      </c>
      <c r="H70" s="5">
        <v>450</v>
      </c>
      <c r="I70" s="5">
        <v>25</v>
      </c>
      <c r="J70" s="5">
        <v>11250</v>
      </c>
      <c r="K70" s="5">
        <v>7</v>
      </c>
      <c r="L70" s="5">
        <v>3</v>
      </c>
      <c r="M70" s="5">
        <v>0.2</v>
      </c>
      <c r="N70" s="5">
        <v>97</v>
      </c>
      <c r="O70" s="5">
        <v>30</v>
      </c>
      <c r="P70" s="5" t="s">
        <v>320</v>
      </c>
      <c r="Q70" s="5">
        <v>8.5</v>
      </c>
      <c r="R70" s="5">
        <v>9.1999999999999993</v>
      </c>
      <c r="S70" s="5" t="s">
        <v>219</v>
      </c>
      <c r="T70" s="5">
        <v>8</v>
      </c>
      <c r="U70" s="5" t="s">
        <v>53</v>
      </c>
      <c r="V70" s="5" t="s">
        <v>54</v>
      </c>
      <c r="W70" s="5">
        <v>1</v>
      </c>
      <c r="X70" s="5" t="s">
        <v>38</v>
      </c>
      <c r="Y70" s="5">
        <v>30</v>
      </c>
      <c r="Z70" s="5">
        <v>8.8000000000000007</v>
      </c>
      <c r="AA70" s="5" t="s">
        <v>321</v>
      </c>
      <c r="AB70" s="5" t="s">
        <v>322</v>
      </c>
      <c r="AC70" s="5" t="s">
        <v>323</v>
      </c>
      <c r="AD70" s="5" t="s">
        <v>324</v>
      </c>
      <c r="AF70" s="15" t="s">
        <v>317</v>
      </c>
      <c r="AG70" s="15" t="s">
        <v>319</v>
      </c>
      <c r="AH70">
        <f t="shared" ref="AH70:AH79" si="40">100-((H70-MIN($H$70:$H$79))/(MAX($H$70:$H$79)-MIN($H$70:$H$79))*100)</f>
        <v>62.962962962962962</v>
      </c>
      <c r="AI70">
        <f t="shared" si="4"/>
        <v>85</v>
      </c>
      <c r="AJ70" s="12">
        <f t="shared" si="5"/>
        <v>96</v>
      </c>
      <c r="AK70">
        <f t="shared" si="6"/>
        <v>97</v>
      </c>
      <c r="AL70">
        <f t="shared" si="1"/>
        <v>65</v>
      </c>
      <c r="AM70">
        <f t="shared" si="7"/>
        <v>97</v>
      </c>
      <c r="AN70">
        <f t="shared" si="2"/>
        <v>99.995199990399982</v>
      </c>
      <c r="AO70">
        <f t="shared" si="8"/>
        <v>88</v>
      </c>
      <c r="AP70">
        <f t="shared" si="9"/>
        <v>82.050596740452733</v>
      </c>
      <c r="AQ70">
        <f>RANK(AP70, $AP$70:$AP$79, 0)</f>
        <v>4</v>
      </c>
      <c r="AR70" t="str">
        <f t="shared" si="11"/>
        <v>STAB-001</v>
      </c>
      <c r="AS70" s="15" t="s">
        <v>317</v>
      </c>
      <c r="AT70" s="15" t="s">
        <v>319</v>
      </c>
      <c r="AU70">
        <f t="shared" ref="AU70:AU80" si="41">100-((H70-MIN($H$70:$H$79))/(MAX($H$70:$H$79)-MIN($H$70:$H$79))*100)</f>
        <v>62.962962962962962</v>
      </c>
      <c r="AV70">
        <f t="shared" si="13"/>
        <v>65</v>
      </c>
      <c r="AW70">
        <f t="shared" si="14"/>
        <v>97</v>
      </c>
      <c r="AX70">
        <f t="shared" si="15"/>
        <v>85</v>
      </c>
      <c r="AY70">
        <f t="shared" si="3"/>
        <v>99.995199990399982</v>
      </c>
      <c r="AZ70">
        <f t="shared" si="16"/>
        <v>97</v>
      </c>
      <c r="BA70">
        <f t="shared" si="17"/>
        <v>77.138648888408881</v>
      </c>
      <c r="BB70">
        <f>RANK(BA70, $BA$70:$BA$79, 0)</f>
        <v>5</v>
      </c>
      <c r="BC70" t="str">
        <f t="shared" si="19"/>
        <v>STAB-001</v>
      </c>
    </row>
    <row r="71" spans="2:55" ht="39.6" x14ac:dyDescent="0.3">
      <c r="B71" s="5" t="s">
        <v>29</v>
      </c>
      <c r="C71" s="15" t="s">
        <v>317</v>
      </c>
      <c r="D71" s="5" t="s">
        <v>325</v>
      </c>
      <c r="E71" s="5" t="s">
        <v>326</v>
      </c>
      <c r="F71" s="5" t="s">
        <v>43</v>
      </c>
      <c r="G71" s="5">
        <v>250</v>
      </c>
      <c r="H71" s="5">
        <v>380</v>
      </c>
      <c r="I71" s="5">
        <v>50</v>
      </c>
      <c r="J71" s="5">
        <v>19000</v>
      </c>
      <c r="K71" s="5">
        <v>5</v>
      </c>
      <c r="L71" s="5">
        <v>2</v>
      </c>
      <c r="M71" s="5">
        <v>0.3</v>
      </c>
      <c r="N71" s="5">
        <v>96</v>
      </c>
      <c r="O71" s="5">
        <v>45</v>
      </c>
      <c r="P71" s="5" t="s">
        <v>327</v>
      </c>
      <c r="Q71" s="5">
        <v>8</v>
      </c>
      <c r="R71" s="5">
        <v>9</v>
      </c>
      <c r="S71" s="5" t="s">
        <v>74</v>
      </c>
      <c r="T71" s="5">
        <v>7.5</v>
      </c>
      <c r="U71" s="5" t="s">
        <v>53</v>
      </c>
      <c r="V71" s="5" t="s">
        <v>46</v>
      </c>
      <c r="W71" s="5">
        <v>2</v>
      </c>
      <c r="X71" s="5" t="s">
        <v>38</v>
      </c>
      <c r="Y71" s="5">
        <v>45</v>
      </c>
      <c r="Z71" s="5">
        <v>8.5</v>
      </c>
      <c r="AA71" s="5" t="s">
        <v>328</v>
      </c>
      <c r="AB71" s="5" t="s">
        <v>329</v>
      </c>
      <c r="AC71" s="5" t="s">
        <v>330</v>
      </c>
      <c r="AD71" s="5" t="s">
        <v>331</v>
      </c>
      <c r="AF71" s="15" t="s">
        <v>317</v>
      </c>
      <c r="AG71" s="15" t="s">
        <v>326</v>
      </c>
      <c r="AH71">
        <f t="shared" si="40"/>
        <v>88.888888888888886</v>
      </c>
      <c r="AI71">
        <f t="shared" si="4"/>
        <v>80</v>
      </c>
      <c r="AJ71" s="12">
        <f t="shared" si="5"/>
        <v>94</v>
      </c>
      <c r="AK71">
        <f t="shared" si="6"/>
        <v>96</v>
      </c>
      <c r="AL71">
        <f t="shared" si="1"/>
        <v>75</v>
      </c>
      <c r="AM71">
        <f t="shared" si="7"/>
        <v>50</v>
      </c>
      <c r="AN71">
        <f t="shared" si="2"/>
        <v>99.990199980399964</v>
      </c>
      <c r="AO71">
        <f t="shared" si="8"/>
        <v>85</v>
      </c>
      <c r="AP71">
        <f t="shared" si="9"/>
        <v>85.421928221634232</v>
      </c>
      <c r="AQ71">
        <f t="shared" ref="AQ71:AQ79" si="42">RANK(AP71, $AP$70:$AP$79, 0)</f>
        <v>2</v>
      </c>
      <c r="AR71" t="str">
        <f t="shared" si="11"/>
        <v>STAB-002</v>
      </c>
      <c r="AS71" s="15" t="s">
        <v>317</v>
      </c>
      <c r="AT71" s="15" t="s">
        <v>326</v>
      </c>
      <c r="AU71">
        <f t="shared" si="41"/>
        <v>88.888888888888886</v>
      </c>
      <c r="AV71">
        <f t="shared" si="13"/>
        <v>75</v>
      </c>
      <c r="AW71">
        <f t="shared" si="14"/>
        <v>96</v>
      </c>
      <c r="AX71">
        <f t="shared" si="15"/>
        <v>80</v>
      </c>
      <c r="AY71">
        <f t="shared" si="3"/>
        <v>99.990199980399964</v>
      </c>
      <c r="AZ71">
        <f t="shared" si="16"/>
        <v>50</v>
      </c>
      <c r="BA71">
        <f t="shared" si="17"/>
        <v>84.11617666568668</v>
      </c>
      <c r="BB71">
        <f t="shared" ref="BB71:BB79" si="43">RANK(BA71, $BA$70:$BA$79, 0)</f>
        <v>3</v>
      </c>
      <c r="BC71" t="str">
        <f t="shared" si="19"/>
        <v>STAB-002</v>
      </c>
    </row>
    <row r="72" spans="2:55" ht="39.6" x14ac:dyDescent="0.3">
      <c r="B72" s="5" t="s">
        <v>29</v>
      </c>
      <c r="C72" s="15" t="s">
        <v>317</v>
      </c>
      <c r="D72" s="5" t="s">
        <v>332</v>
      </c>
      <c r="E72" s="5" t="s">
        <v>333</v>
      </c>
      <c r="F72" s="5" t="s">
        <v>50</v>
      </c>
      <c r="G72" s="5">
        <v>150</v>
      </c>
      <c r="H72" s="5">
        <v>520</v>
      </c>
      <c r="I72" s="5">
        <v>10</v>
      </c>
      <c r="J72" s="5">
        <v>5200</v>
      </c>
      <c r="K72" s="5">
        <v>14</v>
      </c>
      <c r="L72" s="5">
        <v>7</v>
      </c>
      <c r="M72" s="5">
        <v>0.1</v>
      </c>
      <c r="N72" s="5">
        <v>95</v>
      </c>
      <c r="O72" s="5" t="s">
        <v>154</v>
      </c>
      <c r="P72" s="5" t="s">
        <v>334</v>
      </c>
      <c r="Q72" s="5">
        <v>9.1999999999999993</v>
      </c>
      <c r="R72" s="5">
        <v>8.5</v>
      </c>
      <c r="S72" s="5" t="s">
        <v>206</v>
      </c>
      <c r="T72" s="5">
        <v>9</v>
      </c>
      <c r="U72" s="5" t="s">
        <v>36</v>
      </c>
      <c r="V72" s="5" t="s">
        <v>37</v>
      </c>
      <c r="W72" s="5">
        <v>1</v>
      </c>
      <c r="X72" s="5" t="s">
        <v>38</v>
      </c>
      <c r="Y72" s="5">
        <v>90</v>
      </c>
      <c r="Z72" s="5">
        <v>8</v>
      </c>
      <c r="AA72" s="5" t="s">
        <v>335</v>
      </c>
      <c r="AB72" s="5" t="s">
        <v>336</v>
      </c>
      <c r="AC72" s="5" t="s">
        <v>337</v>
      </c>
      <c r="AD72" s="5" t="s">
        <v>338</v>
      </c>
      <c r="AF72" s="15" t="s">
        <v>317</v>
      </c>
      <c r="AG72" s="15" t="s">
        <v>333</v>
      </c>
      <c r="AH72">
        <f t="shared" si="40"/>
        <v>37.037037037037038</v>
      </c>
      <c r="AI72">
        <f t="shared" si="4"/>
        <v>92</v>
      </c>
      <c r="AJ72" s="12">
        <f t="shared" si="5"/>
        <v>98</v>
      </c>
      <c r="AK72">
        <f t="shared" si="6"/>
        <v>95</v>
      </c>
      <c r="AL72">
        <f t="shared" si="1"/>
        <v>30</v>
      </c>
      <c r="AM72">
        <f t="shared" si="7"/>
        <v>70</v>
      </c>
      <c r="AN72">
        <f t="shared" ref="AN72:AN135" si="44">100-((I72-MIN($I$8:$I$267))/(MAX($I$8:$I$267)-MIN($I$8:$I$267))*100)</f>
        <v>99.99819999639999</v>
      </c>
      <c r="AO72">
        <f t="shared" si="8"/>
        <v>80</v>
      </c>
      <c r="AP72">
        <f t="shared" si="9"/>
        <v>72.309205259151256</v>
      </c>
      <c r="AQ72">
        <f t="shared" si="42"/>
        <v>7</v>
      </c>
      <c r="AR72" t="str">
        <f t="shared" si="11"/>
        <v>STAB-003</v>
      </c>
      <c r="AS72" s="15" t="s">
        <v>317</v>
      </c>
      <c r="AT72" s="15" t="s">
        <v>333</v>
      </c>
      <c r="AU72">
        <f t="shared" si="41"/>
        <v>37.037037037037038</v>
      </c>
      <c r="AV72">
        <f t="shared" si="13"/>
        <v>30</v>
      </c>
      <c r="AW72">
        <f t="shared" si="14"/>
        <v>95</v>
      </c>
      <c r="AX72">
        <f t="shared" si="15"/>
        <v>92</v>
      </c>
      <c r="AY72">
        <f t="shared" ref="AY72:AY135" si="45">100-((I72-MIN($I$8:$I$267))/(MAX($I$8:$I$267)-MIN($I$8:$I$267))*100)</f>
        <v>99.99819999639999</v>
      </c>
      <c r="AZ72">
        <f t="shared" si="16"/>
        <v>70</v>
      </c>
      <c r="BA72">
        <f t="shared" si="17"/>
        <v>59.911021110931109</v>
      </c>
      <c r="BB72">
        <f t="shared" si="43"/>
        <v>7</v>
      </c>
      <c r="BC72" t="str">
        <f t="shared" si="19"/>
        <v>STAB-003</v>
      </c>
    </row>
    <row r="73" spans="2:55" ht="39.6" x14ac:dyDescent="0.3">
      <c r="B73" s="5" t="s">
        <v>29</v>
      </c>
      <c r="C73" s="15" t="s">
        <v>317</v>
      </c>
      <c r="D73" s="5" t="s">
        <v>339</v>
      </c>
      <c r="E73" s="5" t="s">
        <v>340</v>
      </c>
      <c r="F73" s="5" t="s">
        <v>33</v>
      </c>
      <c r="G73" s="5">
        <v>65</v>
      </c>
      <c r="H73" s="5">
        <v>420</v>
      </c>
      <c r="I73" s="5">
        <v>100</v>
      </c>
      <c r="J73" s="5">
        <v>42000</v>
      </c>
      <c r="K73" s="5">
        <v>3</v>
      </c>
      <c r="L73" s="5">
        <v>1</v>
      </c>
      <c r="M73" s="5">
        <v>0.4</v>
      </c>
      <c r="N73" s="5">
        <v>98</v>
      </c>
      <c r="O73" s="5">
        <v>30</v>
      </c>
      <c r="P73" s="5" t="s">
        <v>341</v>
      </c>
      <c r="Q73" s="5">
        <v>7.8</v>
      </c>
      <c r="R73" s="5">
        <v>9.5</v>
      </c>
      <c r="S73" s="5" t="s">
        <v>67</v>
      </c>
      <c r="T73" s="5">
        <v>7.8</v>
      </c>
      <c r="U73" s="5" t="s">
        <v>53</v>
      </c>
      <c r="V73" s="5" t="s">
        <v>54</v>
      </c>
      <c r="W73" s="5">
        <v>2</v>
      </c>
      <c r="X73" s="5" t="s">
        <v>38</v>
      </c>
      <c r="Y73" s="5">
        <v>20</v>
      </c>
      <c r="Z73" s="5">
        <v>9</v>
      </c>
      <c r="AA73" s="5" t="s">
        <v>134</v>
      </c>
      <c r="AB73" s="5" t="s">
        <v>342</v>
      </c>
      <c r="AC73" s="5" t="s">
        <v>343</v>
      </c>
      <c r="AD73" s="5" t="s">
        <v>331</v>
      </c>
      <c r="AF73" s="15" t="s">
        <v>317</v>
      </c>
      <c r="AG73" s="15" t="s">
        <v>340</v>
      </c>
      <c r="AH73">
        <f t="shared" si="40"/>
        <v>74.074074074074076</v>
      </c>
      <c r="AI73">
        <f t="shared" ref="AI73:AI136" si="46">Q73*10</f>
        <v>78</v>
      </c>
      <c r="AJ73" s="12">
        <f t="shared" ref="AJ73:AJ136" si="47">MAX(0, 100-(M73*20))</f>
        <v>92</v>
      </c>
      <c r="AK73">
        <f t="shared" ref="AK73:AK136" si="48">N73</f>
        <v>98</v>
      </c>
      <c r="AL73">
        <f t="shared" ref="AL73:AL136" si="49">MAX(0, 100-(K73*5))</f>
        <v>85</v>
      </c>
      <c r="AM73">
        <f t="shared" ref="AM73:AM136" si="50">MAX(0, 100-(G73/5))</f>
        <v>87</v>
      </c>
      <c r="AN73">
        <f t="shared" si="44"/>
        <v>99.980199960399915</v>
      </c>
      <c r="AO73">
        <f t="shared" ref="AO73:AO136" si="51">Z73*10</f>
        <v>90</v>
      </c>
      <c r="AP73">
        <f t="shared" ref="AP73:AP136" si="52">SUM(AH73*0.25, AI73*0.25, AJ73*0.15, AK73*0.15, AL73*0.1, AM73*0.05,AN73*0.03,AO73*0.02)</f>
        <v>84.167924517330505</v>
      </c>
      <c r="AQ73">
        <f t="shared" si="42"/>
        <v>3</v>
      </c>
      <c r="AR73" t="str">
        <f t="shared" ref="AR73:AR136" si="53">D73</f>
        <v>STAB-004</v>
      </c>
      <c r="AS73" s="15" t="s">
        <v>317</v>
      </c>
      <c r="AT73" s="15" t="s">
        <v>340</v>
      </c>
      <c r="AU73">
        <f t="shared" si="41"/>
        <v>74.074074074074076</v>
      </c>
      <c r="AV73">
        <f t="shared" ref="AV73:AV136" si="54">MAX(0, 100-(K73*5))</f>
        <v>85</v>
      </c>
      <c r="AW73">
        <f t="shared" ref="AW73:AW136" si="55">N73</f>
        <v>98</v>
      </c>
      <c r="AX73">
        <f t="shared" ref="AX73:AX136" si="56">Q73*10</f>
        <v>78</v>
      </c>
      <c r="AY73">
        <f t="shared" si="45"/>
        <v>99.980199960399915</v>
      </c>
      <c r="AZ73">
        <f t="shared" ref="AZ73:AZ136" si="57">MAX(0, 100-(G73/5))</f>
        <v>87</v>
      </c>
      <c r="BA73">
        <f t="shared" ref="BA73:BA136" si="58">SUM(AU73*0.3,AV73*0.25,AW73*0.2,AX73*0.15,AY73*0.05,AZ73*0.05)</f>
        <v>84.12123222024222</v>
      </c>
      <c r="BB73">
        <f t="shared" si="43"/>
        <v>2</v>
      </c>
      <c r="BC73" t="str">
        <f t="shared" ref="BC73:BC136" si="59">D73</f>
        <v>STAB-004</v>
      </c>
    </row>
    <row r="74" spans="2:55" ht="39.6" x14ac:dyDescent="0.3">
      <c r="B74" s="5" t="s">
        <v>29</v>
      </c>
      <c r="C74" s="15" t="s">
        <v>317</v>
      </c>
      <c r="D74" s="5" t="s">
        <v>344</v>
      </c>
      <c r="E74" s="5" t="s">
        <v>345</v>
      </c>
      <c r="F74" s="5" t="s">
        <v>50</v>
      </c>
      <c r="G74" s="5">
        <v>150</v>
      </c>
      <c r="H74" s="5">
        <v>580</v>
      </c>
      <c r="I74" s="5">
        <v>5</v>
      </c>
      <c r="J74" s="5">
        <v>2900</v>
      </c>
      <c r="K74" s="5">
        <v>21</v>
      </c>
      <c r="L74" s="5">
        <v>10</v>
      </c>
      <c r="M74" s="5">
        <v>0.05</v>
      </c>
      <c r="N74" s="5">
        <v>92</v>
      </c>
      <c r="O74" s="5" t="s">
        <v>154</v>
      </c>
      <c r="P74" s="5" t="s">
        <v>346</v>
      </c>
      <c r="Q74" s="5">
        <v>9.5</v>
      </c>
      <c r="R74" s="5">
        <v>8</v>
      </c>
      <c r="S74" s="5" t="s">
        <v>347</v>
      </c>
      <c r="T74" s="5">
        <v>9.1999999999999993</v>
      </c>
      <c r="U74" s="5" t="s">
        <v>36</v>
      </c>
      <c r="V74" s="5" t="s">
        <v>46</v>
      </c>
      <c r="W74" s="5">
        <v>1</v>
      </c>
      <c r="X74" s="5" t="s">
        <v>68</v>
      </c>
      <c r="Y74" s="5">
        <v>120</v>
      </c>
      <c r="Z74" s="5">
        <v>7.5</v>
      </c>
      <c r="AA74" s="5" t="s">
        <v>348</v>
      </c>
      <c r="AB74" s="5" t="s">
        <v>349</v>
      </c>
      <c r="AC74" s="5" t="s">
        <v>350</v>
      </c>
      <c r="AD74" s="5" t="s">
        <v>338</v>
      </c>
      <c r="AF74" s="15" t="s">
        <v>317</v>
      </c>
      <c r="AG74" s="15" t="s">
        <v>345</v>
      </c>
      <c r="AH74">
        <f t="shared" si="40"/>
        <v>14.81481481481481</v>
      </c>
      <c r="AI74">
        <f t="shared" si="46"/>
        <v>95</v>
      </c>
      <c r="AJ74" s="12">
        <f t="shared" si="47"/>
        <v>99</v>
      </c>
      <c r="AK74">
        <f t="shared" si="48"/>
        <v>92</v>
      </c>
      <c r="AL74">
        <f t="shared" si="49"/>
        <v>0</v>
      </c>
      <c r="AM74">
        <f t="shared" si="50"/>
        <v>70</v>
      </c>
      <c r="AN74">
        <f t="shared" si="44"/>
        <v>99.999199998400002</v>
      </c>
      <c r="AO74">
        <f t="shared" si="51"/>
        <v>75</v>
      </c>
      <c r="AP74">
        <f t="shared" si="52"/>
        <v>64.1036797036557</v>
      </c>
      <c r="AQ74">
        <f t="shared" si="42"/>
        <v>9</v>
      </c>
      <c r="AR74" t="str">
        <f t="shared" si="53"/>
        <v>STAB-005</v>
      </c>
      <c r="AS74" s="15" t="s">
        <v>317</v>
      </c>
      <c r="AT74" s="15" t="s">
        <v>345</v>
      </c>
      <c r="AU74">
        <f t="shared" si="41"/>
        <v>14.81481481481481</v>
      </c>
      <c r="AV74">
        <f t="shared" si="54"/>
        <v>0</v>
      </c>
      <c r="AW74">
        <f t="shared" si="55"/>
        <v>92</v>
      </c>
      <c r="AX74">
        <f t="shared" si="56"/>
        <v>95</v>
      </c>
      <c r="AY74">
        <f t="shared" si="45"/>
        <v>99.999199998400002</v>
      </c>
      <c r="AZ74">
        <f t="shared" si="57"/>
        <v>70</v>
      </c>
      <c r="BA74">
        <f t="shared" si="58"/>
        <v>45.59440444436445</v>
      </c>
      <c r="BB74">
        <f t="shared" si="43"/>
        <v>10</v>
      </c>
      <c r="BC74" t="str">
        <f t="shared" si="59"/>
        <v>STAB-005</v>
      </c>
    </row>
    <row r="75" spans="2:55" ht="39.6" x14ac:dyDescent="0.3">
      <c r="B75" s="5" t="s">
        <v>29</v>
      </c>
      <c r="C75" s="15" t="s">
        <v>317</v>
      </c>
      <c r="D75" s="5" t="s">
        <v>351</v>
      </c>
      <c r="E75" s="5" t="s">
        <v>352</v>
      </c>
      <c r="F75" s="5" t="s">
        <v>59</v>
      </c>
      <c r="G75" s="5">
        <v>200</v>
      </c>
      <c r="H75" s="5">
        <v>480</v>
      </c>
      <c r="I75" s="5">
        <v>30</v>
      </c>
      <c r="J75" s="5">
        <v>14400</v>
      </c>
      <c r="K75" s="5">
        <v>10</v>
      </c>
      <c r="L75" s="5">
        <v>5</v>
      </c>
      <c r="M75" s="5">
        <v>0.6</v>
      </c>
      <c r="N75" s="5">
        <v>94</v>
      </c>
      <c r="O75" s="5">
        <v>45</v>
      </c>
      <c r="P75" s="5" t="s">
        <v>353</v>
      </c>
      <c r="Q75" s="5">
        <v>8.1999999999999993</v>
      </c>
      <c r="R75" s="5">
        <v>8.8000000000000007</v>
      </c>
      <c r="S75" s="5" t="s">
        <v>62</v>
      </c>
      <c r="T75" s="5">
        <v>8.8000000000000007</v>
      </c>
      <c r="U75" s="5" t="s">
        <v>53</v>
      </c>
      <c r="V75" s="5" t="s">
        <v>54</v>
      </c>
      <c r="W75" s="5">
        <v>2</v>
      </c>
      <c r="X75" s="5" t="s">
        <v>38</v>
      </c>
      <c r="Y75" s="5">
        <v>60</v>
      </c>
      <c r="Z75" s="5">
        <v>8.1999999999999993</v>
      </c>
      <c r="AA75" s="5" t="s">
        <v>354</v>
      </c>
      <c r="AB75" s="5" t="s">
        <v>355</v>
      </c>
      <c r="AC75" s="5" t="s">
        <v>330</v>
      </c>
      <c r="AD75" s="5" t="s">
        <v>356</v>
      </c>
      <c r="AF75" s="15" t="s">
        <v>317</v>
      </c>
      <c r="AG75" s="15" t="s">
        <v>352</v>
      </c>
      <c r="AH75">
        <f t="shared" si="40"/>
        <v>51.851851851851855</v>
      </c>
      <c r="AI75">
        <f t="shared" si="46"/>
        <v>82</v>
      </c>
      <c r="AJ75" s="12">
        <f t="shared" si="47"/>
        <v>88</v>
      </c>
      <c r="AK75">
        <f t="shared" si="48"/>
        <v>94</v>
      </c>
      <c r="AL75">
        <f t="shared" si="49"/>
        <v>50</v>
      </c>
      <c r="AM75">
        <f t="shared" si="50"/>
        <v>60</v>
      </c>
      <c r="AN75">
        <f t="shared" si="44"/>
        <v>99.99419998839997</v>
      </c>
      <c r="AO75">
        <f t="shared" si="51"/>
        <v>82</v>
      </c>
      <c r="AP75">
        <f t="shared" si="52"/>
        <v>73.402788962614977</v>
      </c>
      <c r="AQ75">
        <f t="shared" si="42"/>
        <v>6</v>
      </c>
      <c r="AR75" t="str">
        <f t="shared" si="53"/>
        <v>STAB-006</v>
      </c>
      <c r="AS75" s="15" t="s">
        <v>317</v>
      </c>
      <c r="AT75" s="15" t="s">
        <v>352</v>
      </c>
      <c r="AU75">
        <f t="shared" si="41"/>
        <v>51.851851851851855</v>
      </c>
      <c r="AV75">
        <f t="shared" si="54"/>
        <v>50</v>
      </c>
      <c r="AW75">
        <f t="shared" si="55"/>
        <v>94</v>
      </c>
      <c r="AX75">
        <f t="shared" si="56"/>
        <v>82</v>
      </c>
      <c r="AY75">
        <f t="shared" si="45"/>
        <v>99.99419998839997</v>
      </c>
      <c r="AZ75">
        <f t="shared" si="57"/>
        <v>60</v>
      </c>
      <c r="BA75">
        <f t="shared" si="58"/>
        <v>67.155265554975557</v>
      </c>
      <c r="BB75">
        <f t="shared" si="43"/>
        <v>6</v>
      </c>
      <c r="BC75" t="str">
        <f t="shared" si="59"/>
        <v>STAB-006</v>
      </c>
    </row>
    <row r="76" spans="2:55" ht="39.6" x14ac:dyDescent="0.3">
      <c r="B76" s="5" t="s">
        <v>29</v>
      </c>
      <c r="C76" s="15" t="s">
        <v>317</v>
      </c>
      <c r="D76" s="5" t="s">
        <v>357</v>
      </c>
      <c r="E76" s="5" t="s">
        <v>358</v>
      </c>
      <c r="F76" s="5" t="s">
        <v>78</v>
      </c>
      <c r="G76" s="5">
        <v>1400</v>
      </c>
      <c r="H76" s="5">
        <v>350</v>
      </c>
      <c r="I76" s="5">
        <v>500</v>
      </c>
      <c r="J76" s="5">
        <v>175000</v>
      </c>
      <c r="K76" s="5">
        <v>7</v>
      </c>
      <c r="L76" s="5">
        <v>3</v>
      </c>
      <c r="M76" s="5">
        <v>0.8</v>
      </c>
      <c r="N76" s="5">
        <v>90</v>
      </c>
      <c r="O76" s="5">
        <v>60</v>
      </c>
      <c r="P76" s="5" t="s">
        <v>359</v>
      </c>
      <c r="Q76" s="5">
        <v>7</v>
      </c>
      <c r="R76" s="5">
        <v>8</v>
      </c>
      <c r="S76" s="5" t="s">
        <v>54</v>
      </c>
      <c r="T76" s="5">
        <v>6.5</v>
      </c>
      <c r="U76" s="5" t="s">
        <v>81</v>
      </c>
      <c r="V76" s="5" t="s">
        <v>37</v>
      </c>
      <c r="W76" s="5">
        <v>3</v>
      </c>
      <c r="X76" s="5" t="s">
        <v>68</v>
      </c>
      <c r="Y76" s="5">
        <v>15</v>
      </c>
      <c r="Z76" s="5">
        <v>7</v>
      </c>
      <c r="AA76" s="5" t="s">
        <v>328</v>
      </c>
      <c r="AB76" s="5" t="s">
        <v>360</v>
      </c>
      <c r="AC76" s="5" t="s">
        <v>361</v>
      </c>
      <c r="AD76" s="5" t="s">
        <v>356</v>
      </c>
      <c r="AF76" s="15" t="s">
        <v>317</v>
      </c>
      <c r="AG76" s="15" t="s">
        <v>358</v>
      </c>
      <c r="AH76">
        <f t="shared" si="40"/>
        <v>100</v>
      </c>
      <c r="AI76">
        <f t="shared" si="46"/>
        <v>70</v>
      </c>
      <c r="AJ76" s="12">
        <f t="shared" si="47"/>
        <v>84</v>
      </c>
      <c r="AK76">
        <f t="shared" si="48"/>
        <v>90</v>
      </c>
      <c r="AL76">
        <f t="shared" si="49"/>
        <v>65</v>
      </c>
      <c r="AM76">
        <f t="shared" si="50"/>
        <v>0</v>
      </c>
      <c r="AN76">
        <f t="shared" si="44"/>
        <v>99.900199800399605</v>
      </c>
      <c r="AO76">
        <f t="shared" si="51"/>
        <v>70</v>
      </c>
      <c r="AP76">
        <f t="shared" si="52"/>
        <v>79.497005994011985</v>
      </c>
      <c r="AQ76">
        <f t="shared" si="42"/>
        <v>5</v>
      </c>
      <c r="AR76" t="str">
        <f t="shared" si="53"/>
        <v>STAB-007</v>
      </c>
      <c r="AS76" s="15" t="s">
        <v>317</v>
      </c>
      <c r="AT76" s="15" t="s">
        <v>358</v>
      </c>
      <c r="AU76">
        <f t="shared" si="41"/>
        <v>100</v>
      </c>
      <c r="AV76">
        <f t="shared" si="54"/>
        <v>65</v>
      </c>
      <c r="AW76">
        <f t="shared" si="55"/>
        <v>90</v>
      </c>
      <c r="AX76">
        <f t="shared" si="56"/>
        <v>70</v>
      </c>
      <c r="AY76">
        <f t="shared" si="45"/>
        <v>99.900199800399605</v>
      </c>
      <c r="AZ76">
        <f t="shared" si="57"/>
        <v>0</v>
      </c>
      <c r="BA76">
        <f t="shared" si="58"/>
        <v>79.74500999001998</v>
      </c>
      <c r="BB76">
        <f t="shared" si="43"/>
        <v>4</v>
      </c>
      <c r="BC76" t="str">
        <f t="shared" si="59"/>
        <v>STAB-007</v>
      </c>
    </row>
    <row r="77" spans="2:55" ht="39.6" x14ac:dyDescent="0.3">
      <c r="B77" s="5" t="s">
        <v>29</v>
      </c>
      <c r="C77" s="15" t="s">
        <v>317</v>
      </c>
      <c r="D77" s="5" t="s">
        <v>362</v>
      </c>
      <c r="E77" s="5" t="s">
        <v>363</v>
      </c>
      <c r="F77" s="5" t="s">
        <v>84</v>
      </c>
      <c r="G77" s="5">
        <v>150</v>
      </c>
      <c r="H77" s="5">
        <v>620</v>
      </c>
      <c r="I77" s="5">
        <v>20</v>
      </c>
      <c r="J77" s="5">
        <v>12400</v>
      </c>
      <c r="K77" s="5">
        <v>14</v>
      </c>
      <c r="L77" s="5">
        <v>7</v>
      </c>
      <c r="M77" s="5">
        <v>0.15</v>
      </c>
      <c r="N77" s="5">
        <v>93</v>
      </c>
      <c r="O77" s="5" t="s">
        <v>294</v>
      </c>
      <c r="P77" s="5" t="s">
        <v>301</v>
      </c>
      <c r="Q77" s="5">
        <v>9</v>
      </c>
      <c r="R77" s="5">
        <v>8.3000000000000007</v>
      </c>
      <c r="S77" s="5" t="s">
        <v>167</v>
      </c>
      <c r="T77" s="5">
        <v>8.5</v>
      </c>
      <c r="U77" s="5" t="s">
        <v>36</v>
      </c>
      <c r="V77" s="5" t="s">
        <v>46</v>
      </c>
      <c r="W77" s="5">
        <v>2</v>
      </c>
      <c r="X77" s="5" t="s">
        <v>38</v>
      </c>
      <c r="Y77" s="5">
        <v>75</v>
      </c>
      <c r="Z77" s="5">
        <v>8</v>
      </c>
      <c r="AA77" s="5" t="s">
        <v>364</v>
      </c>
      <c r="AB77" s="5" t="s">
        <v>365</v>
      </c>
      <c r="AC77" s="5" t="s">
        <v>323</v>
      </c>
      <c r="AD77" s="5" t="s">
        <v>324</v>
      </c>
      <c r="AF77" s="15" t="s">
        <v>317</v>
      </c>
      <c r="AG77" s="15" t="s">
        <v>363</v>
      </c>
      <c r="AH77">
        <f t="shared" si="40"/>
        <v>0</v>
      </c>
      <c r="AI77">
        <f t="shared" si="46"/>
        <v>90</v>
      </c>
      <c r="AJ77" s="12">
        <f t="shared" si="47"/>
        <v>97</v>
      </c>
      <c r="AK77">
        <f t="shared" si="48"/>
        <v>93</v>
      </c>
      <c r="AL77">
        <f t="shared" si="49"/>
        <v>30</v>
      </c>
      <c r="AM77">
        <f t="shared" si="50"/>
        <v>70</v>
      </c>
      <c r="AN77">
        <f t="shared" si="44"/>
        <v>99.99619999239998</v>
      </c>
      <c r="AO77">
        <f t="shared" si="51"/>
        <v>80</v>
      </c>
      <c r="AP77">
        <f t="shared" si="52"/>
        <v>62.099885999771999</v>
      </c>
      <c r="AQ77">
        <f t="shared" si="42"/>
        <v>10</v>
      </c>
      <c r="AR77" t="str">
        <f t="shared" si="53"/>
        <v>STAB-008</v>
      </c>
      <c r="AS77" s="15" t="s">
        <v>317</v>
      </c>
      <c r="AT77" s="15" t="s">
        <v>363</v>
      </c>
      <c r="AU77">
        <f t="shared" si="41"/>
        <v>0</v>
      </c>
      <c r="AV77">
        <f t="shared" si="54"/>
        <v>30</v>
      </c>
      <c r="AW77">
        <f t="shared" si="55"/>
        <v>93</v>
      </c>
      <c r="AX77">
        <f t="shared" si="56"/>
        <v>90</v>
      </c>
      <c r="AY77">
        <f t="shared" si="45"/>
        <v>99.99619999239998</v>
      </c>
      <c r="AZ77">
        <f t="shared" si="57"/>
        <v>70</v>
      </c>
      <c r="BA77">
        <f t="shared" si="58"/>
        <v>48.09980999962</v>
      </c>
      <c r="BB77">
        <f t="shared" si="43"/>
        <v>9</v>
      </c>
      <c r="BC77" t="str">
        <f t="shared" si="59"/>
        <v>STAB-008</v>
      </c>
    </row>
    <row r="78" spans="2:55" ht="39.6" x14ac:dyDescent="0.3">
      <c r="B78" s="5" t="s">
        <v>29</v>
      </c>
      <c r="C78" s="15" t="s">
        <v>317</v>
      </c>
      <c r="D78" s="5" t="s">
        <v>366</v>
      </c>
      <c r="E78" s="5" t="s">
        <v>367</v>
      </c>
      <c r="F78" s="5" t="s">
        <v>72</v>
      </c>
      <c r="G78" s="5">
        <v>10</v>
      </c>
      <c r="H78" s="5">
        <v>400</v>
      </c>
      <c r="I78" s="5">
        <v>40</v>
      </c>
      <c r="J78" s="5">
        <v>16000</v>
      </c>
      <c r="K78" s="5">
        <v>3</v>
      </c>
      <c r="L78" s="5">
        <v>1</v>
      </c>
      <c r="M78" s="5">
        <v>0.3</v>
      </c>
      <c r="N78" s="5">
        <v>97</v>
      </c>
      <c r="O78" s="5">
        <v>30</v>
      </c>
      <c r="P78" s="5" t="s">
        <v>334</v>
      </c>
      <c r="Q78" s="5">
        <v>8.3000000000000007</v>
      </c>
      <c r="R78" s="5">
        <v>9.1999999999999993</v>
      </c>
      <c r="S78" s="5" t="s">
        <v>67</v>
      </c>
      <c r="T78" s="5">
        <v>8.1999999999999993</v>
      </c>
      <c r="U78" s="5" t="s">
        <v>53</v>
      </c>
      <c r="V78" s="5" t="s">
        <v>54</v>
      </c>
      <c r="W78" s="5">
        <v>1</v>
      </c>
      <c r="X78" s="5" t="s">
        <v>38</v>
      </c>
      <c r="Y78" s="5">
        <v>25</v>
      </c>
      <c r="Z78" s="5">
        <v>8.6999999999999993</v>
      </c>
      <c r="AA78" s="5" t="s">
        <v>368</v>
      </c>
      <c r="AB78" s="5" t="s">
        <v>369</v>
      </c>
      <c r="AC78" s="5" t="s">
        <v>370</v>
      </c>
      <c r="AD78" s="5" t="s">
        <v>331</v>
      </c>
      <c r="AF78" s="15" t="s">
        <v>317</v>
      </c>
      <c r="AG78" s="15" t="s">
        <v>367</v>
      </c>
      <c r="AH78">
        <f t="shared" si="40"/>
        <v>81.481481481481481</v>
      </c>
      <c r="AI78">
        <f t="shared" si="46"/>
        <v>83</v>
      </c>
      <c r="AJ78" s="12">
        <f t="shared" si="47"/>
        <v>94</v>
      </c>
      <c r="AK78">
        <f t="shared" si="48"/>
        <v>97</v>
      </c>
      <c r="AL78">
        <f t="shared" si="49"/>
        <v>85</v>
      </c>
      <c r="AM78">
        <f t="shared" si="50"/>
        <v>98</v>
      </c>
      <c r="AN78">
        <f t="shared" si="44"/>
        <v>99.992199984399974</v>
      </c>
      <c r="AO78">
        <f t="shared" si="51"/>
        <v>87</v>
      </c>
      <c r="AP78">
        <f t="shared" si="52"/>
        <v>87.910136369902375</v>
      </c>
      <c r="AQ78">
        <f t="shared" si="42"/>
        <v>1</v>
      </c>
      <c r="AR78" t="str">
        <f t="shared" si="53"/>
        <v>STAB-009</v>
      </c>
      <c r="AS78" s="15" t="s">
        <v>317</v>
      </c>
      <c r="AT78" s="15" t="s">
        <v>367</v>
      </c>
      <c r="AU78">
        <f t="shared" si="41"/>
        <v>81.481481481481481</v>
      </c>
      <c r="AV78">
        <f t="shared" si="54"/>
        <v>85</v>
      </c>
      <c r="AW78">
        <f t="shared" si="55"/>
        <v>97</v>
      </c>
      <c r="AX78">
        <f t="shared" si="56"/>
        <v>83</v>
      </c>
      <c r="AY78">
        <f t="shared" si="45"/>
        <v>99.992199984399974</v>
      </c>
      <c r="AZ78">
        <f t="shared" si="57"/>
        <v>98</v>
      </c>
      <c r="BA78">
        <f t="shared" si="58"/>
        <v>87.444054443664456</v>
      </c>
      <c r="BB78">
        <f t="shared" si="43"/>
        <v>1</v>
      </c>
      <c r="BC78" t="str">
        <f t="shared" si="59"/>
        <v>STAB-009</v>
      </c>
    </row>
    <row r="79" spans="2:55" ht="39.6" x14ac:dyDescent="0.3">
      <c r="B79" s="5" t="s">
        <v>29</v>
      </c>
      <c r="C79" s="15" t="s">
        <v>317</v>
      </c>
      <c r="D79" s="5" t="s">
        <v>371</v>
      </c>
      <c r="E79" s="5" t="s">
        <v>372</v>
      </c>
      <c r="F79" s="5" t="s">
        <v>373</v>
      </c>
      <c r="G79" s="5">
        <v>850</v>
      </c>
      <c r="H79" s="5">
        <v>550</v>
      </c>
      <c r="I79" s="5">
        <v>15</v>
      </c>
      <c r="J79" s="5">
        <v>8250</v>
      </c>
      <c r="K79" s="5">
        <v>10</v>
      </c>
      <c r="L79" s="5">
        <v>5</v>
      </c>
      <c r="M79" s="5">
        <v>0.2</v>
      </c>
      <c r="N79" s="5">
        <v>95</v>
      </c>
      <c r="O79" s="5">
        <v>45</v>
      </c>
      <c r="P79" s="5" t="s">
        <v>374</v>
      </c>
      <c r="Q79" s="5">
        <v>8.8000000000000007</v>
      </c>
      <c r="R79" s="5">
        <v>8.5</v>
      </c>
      <c r="S79" s="5" t="s">
        <v>74</v>
      </c>
      <c r="T79" s="5">
        <v>8.6999999999999993</v>
      </c>
      <c r="U79" s="5" t="s">
        <v>53</v>
      </c>
      <c r="V79" s="5" t="s">
        <v>37</v>
      </c>
      <c r="W79" s="5">
        <v>2</v>
      </c>
      <c r="X79" s="5" t="s">
        <v>38</v>
      </c>
      <c r="Y79" s="5">
        <v>50</v>
      </c>
      <c r="Z79" s="5">
        <v>8.5</v>
      </c>
      <c r="AA79" s="5" t="s">
        <v>375</v>
      </c>
      <c r="AB79" s="5" t="s">
        <v>376</v>
      </c>
      <c r="AC79" s="5" t="s">
        <v>330</v>
      </c>
      <c r="AD79" s="5" t="s">
        <v>331</v>
      </c>
      <c r="AF79" s="15" t="s">
        <v>317</v>
      </c>
      <c r="AG79" s="15" t="s">
        <v>372</v>
      </c>
      <c r="AH79">
        <f t="shared" si="40"/>
        <v>25.925925925925924</v>
      </c>
      <c r="AI79">
        <f t="shared" si="46"/>
        <v>88</v>
      </c>
      <c r="AJ79" s="12">
        <f t="shared" si="47"/>
        <v>96</v>
      </c>
      <c r="AK79">
        <f t="shared" si="48"/>
        <v>95</v>
      </c>
      <c r="AL79">
        <f t="shared" si="49"/>
        <v>50</v>
      </c>
      <c r="AM79">
        <f t="shared" si="50"/>
        <v>0</v>
      </c>
      <c r="AN79">
        <f t="shared" si="44"/>
        <v>99.997199994399992</v>
      </c>
      <c r="AO79">
        <f t="shared" si="51"/>
        <v>85</v>
      </c>
      <c r="AP79">
        <f t="shared" si="52"/>
        <v>66.831397481313488</v>
      </c>
      <c r="AQ79">
        <f t="shared" si="42"/>
        <v>8</v>
      </c>
      <c r="AR79" t="str">
        <f t="shared" si="53"/>
        <v>STAB-010</v>
      </c>
      <c r="AS79" s="15" t="s">
        <v>317</v>
      </c>
      <c r="AT79" s="15" t="s">
        <v>372</v>
      </c>
      <c r="AU79">
        <f t="shared" si="41"/>
        <v>25.925925925925924</v>
      </c>
      <c r="AV79">
        <f t="shared" si="54"/>
        <v>50</v>
      </c>
      <c r="AW79">
        <f t="shared" si="55"/>
        <v>95</v>
      </c>
      <c r="AX79">
        <f t="shared" si="56"/>
        <v>88</v>
      </c>
      <c r="AY79">
        <f t="shared" si="45"/>
        <v>99.997199994399992</v>
      </c>
      <c r="AZ79">
        <f t="shared" si="57"/>
        <v>0</v>
      </c>
      <c r="BA79">
        <f t="shared" si="58"/>
        <v>57.477637777497776</v>
      </c>
      <c r="BB79">
        <f t="shared" si="43"/>
        <v>8</v>
      </c>
      <c r="BC79" t="str">
        <f t="shared" si="59"/>
        <v>STAB-010</v>
      </c>
    </row>
    <row r="80" spans="2:55" ht="39.6" x14ac:dyDescent="0.3">
      <c r="B80" s="5" t="s">
        <v>29</v>
      </c>
      <c r="C80" s="15" t="s">
        <v>377</v>
      </c>
      <c r="D80" s="5" t="s">
        <v>378</v>
      </c>
      <c r="E80" s="5" t="s">
        <v>379</v>
      </c>
      <c r="F80" s="5" t="s">
        <v>72</v>
      </c>
      <c r="G80" s="5">
        <v>10</v>
      </c>
      <c r="H80" s="5">
        <v>32</v>
      </c>
      <c r="I80" s="5">
        <v>1000</v>
      </c>
      <c r="J80" s="5">
        <v>32000</v>
      </c>
      <c r="K80" s="5">
        <v>2</v>
      </c>
      <c r="L80" s="5">
        <v>1</v>
      </c>
      <c r="M80" s="5">
        <v>0.6</v>
      </c>
      <c r="N80" s="5">
        <v>97</v>
      </c>
      <c r="O80" s="5">
        <v>30</v>
      </c>
      <c r="P80" s="5" t="s">
        <v>51</v>
      </c>
      <c r="Q80" s="5">
        <v>8</v>
      </c>
      <c r="R80" s="5">
        <v>9.4</v>
      </c>
      <c r="S80" s="5" t="s">
        <v>67</v>
      </c>
      <c r="T80" s="5">
        <v>7.8</v>
      </c>
      <c r="U80" s="5" t="s">
        <v>53</v>
      </c>
      <c r="V80" s="5" t="s">
        <v>54</v>
      </c>
      <c r="W80" s="5">
        <v>1</v>
      </c>
      <c r="X80" s="5" t="s">
        <v>38</v>
      </c>
      <c r="Y80" s="5">
        <v>10</v>
      </c>
      <c r="Z80" s="5">
        <v>8.8000000000000007</v>
      </c>
      <c r="AA80" s="7">
        <v>0.11</v>
      </c>
      <c r="AB80" s="6">
        <v>5.0000000000000001E-3</v>
      </c>
      <c r="AC80" s="5" t="s">
        <v>380</v>
      </c>
      <c r="AD80" s="7">
        <v>0.7</v>
      </c>
      <c r="AF80" s="15" t="s">
        <v>377</v>
      </c>
      <c r="AG80" s="15" t="s">
        <v>379</v>
      </c>
      <c r="AH80">
        <f t="shared" ref="AH80:AH91" si="60">100-((H80-MIN($H$80:$H$91))/(MAX($H$80:$H$91)-MIN($H$80:$H$91))*100)</f>
        <v>92.982456140350877</v>
      </c>
      <c r="AI80">
        <f t="shared" si="46"/>
        <v>80</v>
      </c>
      <c r="AJ80" s="12">
        <f t="shared" si="47"/>
        <v>88</v>
      </c>
      <c r="AK80">
        <f t="shared" si="48"/>
        <v>97</v>
      </c>
      <c r="AL80">
        <f t="shared" si="49"/>
        <v>90</v>
      </c>
      <c r="AM80">
        <f t="shared" si="50"/>
        <v>98</v>
      </c>
      <c r="AN80">
        <f t="shared" si="44"/>
        <v>99.800199600399196</v>
      </c>
      <c r="AO80">
        <f t="shared" si="51"/>
        <v>88</v>
      </c>
      <c r="AP80">
        <f t="shared" si="52"/>
        <v>89.6496200230997</v>
      </c>
      <c r="AQ80">
        <f>RANK(AP80, $AP$80:$AP$91, 0)</f>
        <v>1</v>
      </c>
      <c r="AR80" t="str">
        <f t="shared" si="53"/>
        <v>FLOUR-001</v>
      </c>
      <c r="AS80" s="15" t="s">
        <v>377</v>
      </c>
      <c r="AT80" s="15" t="s">
        <v>379</v>
      </c>
      <c r="AU80">
        <f t="shared" si="41"/>
        <v>217.77777777777777</v>
      </c>
      <c r="AV80">
        <f t="shared" si="54"/>
        <v>90</v>
      </c>
      <c r="AW80">
        <f t="shared" si="55"/>
        <v>97</v>
      </c>
      <c r="AX80">
        <f t="shared" si="56"/>
        <v>80</v>
      </c>
      <c r="AY80">
        <f t="shared" si="45"/>
        <v>99.800199600399196</v>
      </c>
      <c r="AZ80">
        <f t="shared" si="57"/>
        <v>98</v>
      </c>
      <c r="BA80">
        <f t="shared" si="58"/>
        <v>129.1233433133533</v>
      </c>
      <c r="BB80">
        <f>RANK(BA80, $BA$80:$BA$91, 0)</f>
        <v>1</v>
      </c>
      <c r="BC80" t="str">
        <f t="shared" si="59"/>
        <v>FLOUR-001</v>
      </c>
    </row>
    <row r="81" spans="2:55" ht="39.6" x14ac:dyDescent="0.3">
      <c r="B81" s="5" t="s">
        <v>29</v>
      </c>
      <c r="C81" s="15" t="s">
        <v>377</v>
      </c>
      <c r="D81" s="5" t="s">
        <v>381</v>
      </c>
      <c r="E81" s="5" t="s">
        <v>382</v>
      </c>
      <c r="F81" s="5" t="s">
        <v>33</v>
      </c>
      <c r="G81" s="5">
        <v>65</v>
      </c>
      <c r="H81" s="5">
        <v>38</v>
      </c>
      <c r="I81" s="5">
        <v>500</v>
      </c>
      <c r="J81" s="5">
        <v>19000</v>
      </c>
      <c r="K81" s="5">
        <v>3</v>
      </c>
      <c r="L81" s="5">
        <v>1</v>
      </c>
      <c r="M81" s="5">
        <v>0.4</v>
      </c>
      <c r="N81" s="5">
        <v>96</v>
      </c>
      <c r="O81" s="5">
        <v>45</v>
      </c>
      <c r="P81" s="5" t="s">
        <v>44</v>
      </c>
      <c r="Q81" s="5">
        <v>8.8000000000000007</v>
      </c>
      <c r="R81" s="5">
        <v>9.3000000000000007</v>
      </c>
      <c r="S81" s="5" t="s">
        <v>74</v>
      </c>
      <c r="T81" s="5">
        <v>8.5</v>
      </c>
      <c r="U81" s="5" t="s">
        <v>36</v>
      </c>
      <c r="V81" s="5" t="s">
        <v>46</v>
      </c>
      <c r="W81" s="5">
        <v>2</v>
      </c>
      <c r="X81" s="5" t="s">
        <v>38</v>
      </c>
      <c r="Y81" s="5">
        <v>15</v>
      </c>
      <c r="Z81" s="5">
        <v>9</v>
      </c>
      <c r="AA81" s="7">
        <v>0.12</v>
      </c>
      <c r="AB81" s="6">
        <v>4.0000000000000001E-3</v>
      </c>
      <c r="AC81" s="5" t="s">
        <v>383</v>
      </c>
      <c r="AD81" s="7">
        <v>0.65</v>
      </c>
      <c r="AF81" s="15" t="s">
        <v>377</v>
      </c>
      <c r="AG81" s="15" t="s">
        <v>382</v>
      </c>
      <c r="AH81">
        <f t="shared" si="60"/>
        <v>82.456140350877192</v>
      </c>
      <c r="AI81">
        <f t="shared" si="46"/>
        <v>88</v>
      </c>
      <c r="AJ81" s="12">
        <f t="shared" si="47"/>
        <v>92</v>
      </c>
      <c r="AK81">
        <f t="shared" si="48"/>
        <v>96</v>
      </c>
      <c r="AL81">
        <f t="shared" si="49"/>
        <v>85</v>
      </c>
      <c r="AM81">
        <f t="shared" si="50"/>
        <v>87</v>
      </c>
      <c r="AN81">
        <f t="shared" si="44"/>
        <v>99.900199800399605</v>
      </c>
      <c r="AO81">
        <f t="shared" si="51"/>
        <v>90</v>
      </c>
      <c r="AP81">
        <f t="shared" si="52"/>
        <v>88.461041081731281</v>
      </c>
      <c r="AQ81">
        <f t="shared" ref="AQ81:AQ91" si="61">RANK(AP81, $AP$80:$AP$91, 0)</f>
        <v>2</v>
      </c>
      <c r="AR81" t="str">
        <f t="shared" si="53"/>
        <v>FLOUR-002</v>
      </c>
      <c r="AS81" s="15" t="s">
        <v>377</v>
      </c>
      <c r="AT81" s="15" t="s">
        <v>382</v>
      </c>
      <c r="AU81">
        <f t="shared" ref="AU81:AU91" si="62">100-((H81-MIN($H$80:$H$91))/(MAX($H$80:$H$91)-MIN($H$80:$H$91))*100)</f>
        <v>82.456140350877192</v>
      </c>
      <c r="AV81">
        <f t="shared" si="54"/>
        <v>85</v>
      </c>
      <c r="AW81">
        <f t="shared" si="55"/>
        <v>96</v>
      </c>
      <c r="AX81">
        <f t="shared" si="56"/>
        <v>88</v>
      </c>
      <c r="AY81">
        <f t="shared" si="45"/>
        <v>99.900199800399605</v>
      </c>
      <c r="AZ81">
        <f t="shared" si="57"/>
        <v>87</v>
      </c>
      <c r="BA81">
        <f t="shared" si="58"/>
        <v>87.731852095283145</v>
      </c>
      <c r="BB81">
        <f t="shared" ref="BB81:BB91" si="63">RANK(BA81, $BA$80:$BA$91, 0)</f>
        <v>3</v>
      </c>
      <c r="BC81" t="str">
        <f t="shared" si="59"/>
        <v>FLOUR-002</v>
      </c>
    </row>
    <row r="82" spans="2:55" ht="39.6" x14ac:dyDescent="0.3">
      <c r="B82" s="5" t="s">
        <v>29</v>
      </c>
      <c r="C82" s="15" t="s">
        <v>377</v>
      </c>
      <c r="D82" s="5" t="s">
        <v>384</v>
      </c>
      <c r="E82" s="5" t="s">
        <v>385</v>
      </c>
      <c r="F82" s="5" t="s">
        <v>50</v>
      </c>
      <c r="G82" s="5">
        <v>150</v>
      </c>
      <c r="H82" s="5">
        <v>30</v>
      </c>
      <c r="I82" s="5">
        <v>2000</v>
      </c>
      <c r="J82" s="5">
        <v>60000</v>
      </c>
      <c r="K82" s="5">
        <v>5</v>
      </c>
      <c r="L82" s="5">
        <v>2</v>
      </c>
      <c r="M82" s="5">
        <v>0.8</v>
      </c>
      <c r="N82" s="5">
        <v>94</v>
      </c>
      <c r="O82" s="5">
        <v>60</v>
      </c>
      <c r="P82" s="5" t="s">
        <v>386</v>
      </c>
      <c r="Q82" s="5">
        <v>7.5</v>
      </c>
      <c r="R82" s="5">
        <v>8.8000000000000007</v>
      </c>
      <c r="S82" s="5" t="s">
        <v>67</v>
      </c>
      <c r="T82" s="5">
        <v>6.5</v>
      </c>
      <c r="U82" s="5" t="s">
        <v>81</v>
      </c>
      <c r="V82" s="5" t="s">
        <v>37</v>
      </c>
      <c r="W82" s="5">
        <v>3</v>
      </c>
      <c r="X82" s="5" t="s">
        <v>38</v>
      </c>
      <c r="Y82" s="5">
        <v>25</v>
      </c>
      <c r="Z82" s="5">
        <v>7.5</v>
      </c>
      <c r="AA82" s="7">
        <v>0.1</v>
      </c>
      <c r="AB82" s="6">
        <v>7.0000000000000001E-3</v>
      </c>
      <c r="AC82" s="5" t="s">
        <v>331</v>
      </c>
      <c r="AD82" s="7">
        <v>0.75</v>
      </c>
      <c r="AF82" s="15" t="s">
        <v>377</v>
      </c>
      <c r="AG82" s="15" t="s">
        <v>385</v>
      </c>
      <c r="AH82">
        <f t="shared" si="60"/>
        <v>96.491228070175438</v>
      </c>
      <c r="AI82">
        <f t="shared" si="46"/>
        <v>75</v>
      </c>
      <c r="AJ82" s="12">
        <f t="shared" si="47"/>
        <v>84</v>
      </c>
      <c r="AK82">
        <f t="shared" si="48"/>
        <v>94</v>
      </c>
      <c r="AL82">
        <f t="shared" si="49"/>
        <v>75</v>
      </c>
      <c r="AM82">
        <f t="shared" si="50"/>
        <v>70</v>
      </c>
      <c r="AN82">
        <f t="shared" si="44"/>
        <v>99.600199200398407</v>
      </c>
      <c r="AO82">
        <f t="shared" si="51"/>
        <v>75</v>
      </c>
      <c r="AP82">
        <f t="shared" si="52"/>
        <v>85.060812993555814</v>
      </c>
      <c r="AQ82">
        <f t="shared" si="61"/>
        <v>6</v>
      </c>
      <c r="AR82" t="str">
        <f t="shared" si="53"/>
        <v>FLOUR-003</v>
      </c>
      <c r="AS82" s="15" t="s">
        <v>377</v>
      </c>
      <c r="AT82" s="15" t="s">
        <v>385</v>
      </c>
      <c r="AU82">
        <f t="shared" si="62"/>
        <v>96.491228070175438</v>
      </c>
      <c r="AV82">
        <f t="shared" si="54"/>
        <v>75</v>
      </c>
      <c r="AW82">
        <f t="shared" si="55"/>
        <v>94</v>
      </c>
      <c r="AX82">
        <f t="shared" si="56"/>
        <v>75</v>
      </c>
      <c r="AY82">
        <f t="shared" si="45"/>
        <v>99.600199200398407</v>
      </c>
      <c r="AZ82">
        <f t="shared" si="57"/>
        <v>70</v>
      </c>
      <c r="BA82">
        <f t="shared" si="58"/>
        <v>86.227378381072555</v>
      </c>
      <c r="BB82">
        <f t="shared" si="63"/>
        <v>5</v>
      </c>
      <c r="BC82" t="str">
        <f t="shared" si="59"/>
        <v>FLOUR-003</v>
      </c>
    </row>
    <row r="83" spans="2:55" ht="39.6" x14ac:dyDescent="0.3">
      <c r="B83" s="5" t="s">
        <v>29</v>
      </c>
      <c r="C83" s="15" t="s">
        <v>377</v>
      </c>
      <c r="D83" s="5" t="s">
        <v>387</v>
      </c>
      <c r="E83" s="5" t="s">
        <v>388</v>
      </c>
      <c r="F83" s="5" t="s">
        <v>59</v>
      </c>
      <c r="G83" s="5">
        <v>200</v>
      </c>
      <c r="H83" s="5">
        <v>42</v>
      </c>
      <c r="I83" s="5">
        <v>300</v>
      </c>
      <c r="J83" s="5">
        <v>12600</v>
      </c>
      <c r="K83" s="5">
        <v>4</v>
      </c>
      <c r="L83" s="5">
        <v>2</v>
      </c>
      <c r="M83" s="5">
        <v>0.3</v>
      </c>
      <c r="N83" s="5">
        <v>95</v>
      </c>
      <c r="O83" s="5">
        <v>30</v>
      </c>
      <c r="P83" s="5" t="s">
        <v>34</v>
      </c>
      <c r="Q83" s="5">
        <v>9</v>
      </c>
      <c r="R83" s="5">
        <v>9</v>
      </c>
      <c r="S83" s="5" t="s">
        <v>62</v>
      </c>
      <c r="T83" s="5">
        <v>9.1999999999999993</v>
      </c>
      <c r="U83" s="5" t="s">
        <v>53</v>
      </c>
      <c r="V83" s="5" t="s">
        <v>54</v>
      </c>
      <c r="W83" s="5">
        <v>2</v>
      </c>
      <c r="X83" s="5" t="s">
        <v>38</v>
      </c>
      <c r="Y83" s="5">
        <v>8</v>
      </c>
      <c r="Z83" s="5">
        <v>8.5</v>
      </c>
      <c r="AA83" s="7">
        <v>0.13</v>
      </c>
      <c r="AB83" s="6">
        <v>3.0000000000000001E-3</v>
      </c>
      <c r="AC83" s="5" t="s">
        <v>380</v>
      </c>
      <c r="AD83" s="7">
        <v>0.6</v>
      </c>
      <c r="AF83" s="15" t="s">
        <v>377</v>
      </c>
      <c r="AG83" s="15" t="s">
        <v>388</v>
      </c>
      <c r="AH83">
        <f t="shared" si="60"/>
        <v>75.438596491228068</v>
      </c>
      <c r="AI83">
        <f t="shared" si="46"/>
        <v>90</v>
      </c>
      <c r="AJ83" s="12">
        <f t="shared" si="47"/>
        <v>94</v>
      </c>
      <c r="AK83">
        <f t="shared" si="48"/>
        <v>95</v>
      </c>
      <c r="AL83">
        <f t="shared" si="49"/>
        <v>80</v>
      </c>
      <c r="AM83">
        <f t="shared" si="50"/>
        <v>60</v>
      </c>
      <c r="AN83">
        <f t="shared" si="44"/>
        <v>99.94019988039976</v>
      </c>
      <c r="AO83">
        <f t="shared" si="51"/>
        <v>85</v>
      </c>
      <c r="AP83">
        <f t="shared" si="52"/>
        <v>85.407855119219008</v>
      </c>
      <c r="AQ83">
        <f t="shared" si="61"/>
        <v>5</v>
      </c>
      <c r="AR83" t="str">
        <f t="shared" si="53"/>
        <v>FLOUR-004</v>
      </c>
      <c r="AS83" s="15" t="s">
        <v>377</v>
      </c>
      <c r="AT83" s="15" t="s">
        <v>388</v>
      </c>
      <c r="AU83">
        <f t="shared" si="62"/>
        <v>75.438596491228068</v>
      </c>
      <c r="AV83">
        <f t="shared" si="54"/>
        <v>80</v>
      </c>
      <c r="AW83">
        <f t="shared" si="55"/>
        <v>95</v>
      </c>
      <c r="AX83">
        <f t="shared" si="56"/>
        <v>90</v>
      </c>
      <c r="AY83">
        <f t="shared" si="45"/>
        <v>99.94019988039976</v>
      </c>
      <c r="AZ83">
        <f t="shared" si="57"/>
        <v>60</v>
      </c>
      <c r="BA83">
        <f t="shared" si="58"/>
        <v>83.128588941388415</v>
      </c>
      <c r="BB83">
        <f t="shared" si="63"/>
        <v>6</v>
      </c>
      <c r="BC83" t="str">
        <f t="shared" si="59"/>
        <v>FLOUR-004</v>
      </c>
    </row>
    <row r="84" spans="2:55" ht="39.6" x14ac:dyDescent="0.3">
      <c r="B84" s="5" t="s">
        <v>29</v>
      </c>
      <c r="C84" s="15" t="s">
        <v>377</v>
      </c>
      <c r="D84" s="5" t="s">
        <v>389</v>
      </c>
      <c r="E84" s="5" t="s">
        <v>390</v>
      </c>
      <c r="F84" s="5" t="s">
        <v>84</v>
      </c>
      <c r="G84" s="5">
        <v>150</v>
      </c>
      <c r="H84" s="5">
        <v>35</v>
      </c>
      <c r="I84" s="5">
        <v>800</v>
      </c>
      <c r="J84" s="5">
        <v>28000</v>
      </c>
      <c r="K84" s="5">
        <v>3</v>
      </c>
      <c r="L84" s="5">
        <v>1</v>
      </c>
      <c r="M84" s="5">
        <v>0.7</v>
      </c>
      <c r="N84" s="5">
        <v>96</v>
      </c>
      <c r="O84" s="5">
        <v>45</v>
      </c>
      <c r="P84" s="5" t="s">
        <v>94</v>
      </c>
      <c r="Q84" s="5">
        <v>8.1999999999999993</v>
      </c>
      <c r="R84" s="5">
        <v>8.9</v>
      </c>
      <c r="S84" s="5" t="s">
        <v>52</v>
      </c>
      <c r="T84" s="5">
        <v>8</v>
      </c>
      <c r="U84" s="5" t="s">
        <v>53</v>
      </c>
      <c r="V84" s="5" t="s">
        <v>37</v>
      </c>
      <c r="W84" s="5">
        <v>2</v>
      </c>
      <c r="X84" s="5" t="s">
        <v>38</v>
      </c>
      <c r="Y84" s="5">
        <v>18</v>
      </c>
      <c r="Z84" s="5">
        <v>8.1999999999999993</v>
      </c>
      <c r="AA84" s="6">
        <v>0.115</v>
      </c>
      <c r="AB84" s="6">
        <v>6.0000000000000001E-3</v>
      </c>
      <c r="AC84" s="5" t="s">
        <v>331</v>
      </c>
      <c r="AD84" s="7">
        <v>0.68</v>
      </c>
      <c r="AF84" s="15" t="s">
        <v>377</v>
      </c>
      <c r="AG84" s="15" t="s">
        <v>390</v>
      </c>
      <c r="AH84">
        <f t="shared" si="60"/>
        <v>87.719298245614041</v>
      </c>
      <c r="AI84">
        <f t="shared" si="46"/>
        <v>82</v>
      </c>
      <c r="AJ84" s="12">
        <f t="shared" si="47"/>
        <v>86</v>
      </c>
      <c r="AK84">
        <f t="shared" si="48"/>
        <v>96</v>
      </c>
      <c r="AL84">
        <f t="shared" si="49"/>
        <v>85</v>
      </c>
      <c r="AM84">
        <f t="shared" si="50"/>
        <v>70</v>
      </c>
      <c r="AN84">
        <f t="shared" si="44"/>
        <v>99.840199680399365</v>
      </c>
      <c r="AO84">
        <f t="shared" si="51"/>
        <v>82</v>
      </c>
      <c r="AP84">
        <f t="shared" si="52"/>
        <v>86.365030551815479</v>
      </c>
      <c r="AQ84">
        <f t="shared" si="61"/>
        <v>4</v>
      </c>
      <c r="AR84" t="str">
        <f t="shared" si="53"/>
        <v>FLOUR-005</v>
      </c>
      <c r="AS84" s="15" t="s">
        <v>377</v>
      </c>
      <c r="AT84" s="15" t="s">
        <v>390</v>
      </c>
      <c r="AU84">
        <f t="shared" si="62"/>
        <v>87.719298245614041</v>
      </c>
      <c r="AV84">
        <f t="shared" si="54"/>
        <v>85</v>
      </c>
      <c r="AW84">
        <f t="shared" si="55"/>
        <v>96</v>
      </c>
      <c r="AX84">
        <f t="shared" si="56"/>
        <v>82</v>
      </c>
      <c r="AY84">
        <f t="shared" si="45"/>
        <v>99.840199680399365</v>
      </c>
      <c r="AZ84">
        <f t="shared" si="57"/>
        <v>70</v>
      </c>
      <c r="BA84">
        <f t="shared" si="58"/>
        <v>87.557799457704178</v>
      </c>
      <c r="BB84">
        <f t="shared" si="63"/>
        <v>4</v>
      </c>
      <c r="BC84" t="str">
        <f t="shared" si="59"/>
        <v>FLOUR-005</v>
      </c>
    </row>
    <row r="85" spans="2:55" ht="39.6" x14ac:dyDescent="0.3">
      <c r="B85" s="5" t="s">
        <v>29</v>
      </c>
      <c r="C85" s="15" t="s">
        <v>377</v>
      </c>
      <c r="D85" s="5" t="s">
        <v>391</v>
      </c>
      <c r="E85" s="5" t="s">
        <v>392</v>
      </c>
      <c r="F85" s="5" t="s">
        <v>178</v>
      </c>
      <c r="G85" s="5">
        <v>110</v>
      </c>
      <c r="H85" s="5">
        <v>48</v>
      </c>
      <c r="I85" s="5">
        <v>200</v>
      </c>
      <c r="J85" s="5">
        <v>9600</v>
      </c>
      <c r="K85" s="5">
        <v>5</v>
      </c>
      <c r="L85" s="5">
        <v>2</v>
      </c>
      <c r="M85" s="5">
        <v>0.2</v>
      </c>
      <c r="N85" s="5">
        <v>98</v>
      </c>
      <c r="O85" s="5">
        <v>30</v>
      </c>
      <c r="P85" s="5" t="s">
        <v>73</v>
      </c>
      <c r="Q85" s="5">
        <v>9.1999999999999993</v>
      </c>
      <c r="R85" s="5">
        <v>9.5</v>
      </c>
      <c r="S85" s="5" t="s">
        <v>393</v>
      </c>
      <c r="T85" s="5">
        <v>9.5</v>
      </c>
      <c r="U85" s="5" t="s">
        <v>53</v>
      </c>
      <c r="V85" s="5" t="s">
        <v>54</v>
      </c>
      <c r="W85" s="5">
        <v>1</v>
      </c>
      <c r="X85" s="5" t="s">
        <v>38</v>
      </c>
      <c r="Y85" s="5">
        <v>6</v>
      </c>
      <c r="Z85" s="5">
        <v>9</v>
      </c>
      <c r="AA85" s="6">
        <v>0.125</v>
      </c>
      <c r="AB85" s="6">
        <v>3.5000000000000001E-3</v>
      </c>
      <c r="AC85" s="5" t="s">
        <v>383</v>
      </c>
      <c r="AD85" s="7">
        <v>0.62</v>
      </c>
      <c r="AF85" s="15" t="s">
        <v>377</v>
      </c>
      <c r="AG85" s="15" t="s">
        <v>392</v>
      </c>
      <c r="AH85">
        <f t="shared" si="60"/>
        <v>64.912280701754383</v>
      </c>
      <c r="AI85">
        <f t="shared" si="46"/>
        <v>92</v>
      </c>
      <c r="AJ85" s="12">
        <f t="shared" si="47"/>
        <v>96</v>
      </c>
      <c r="AK85">
        <f t="shared" si="48"/>
        <v>98</v>
      </c>
      <c r="AL85">
        <f t="shared" si="49"/>
        <v>75</v>
      </c>
      <c r="AM85">
        <f t="shared" si="50"/>
        <v>78</v>
      </c>
      <c r="AN85">
        <f t="shared" si="44"/>
        <v>99.960199920399845</v>
      </c>
      <c r="AO85">
        <f t="shared" si="51"/>
        <v>90</v>
      </c>
      <c r="AP85">
        <f t="shared" si="52"/>
        <v>84.526876173050596</v>
      </c>
      <c r="AQ85">
        <f t="shared" si="61"/>
        <v>7</v>
      </c>
      <c r="AR85" t="str">
        <f t="shared" si="53"/>
        <v>FLOUR-006</v>
      </c>
      <c r="AS85" s="15" t="s">
        <v>377</v>
      </c>
      <c r="AT85" s="15" t="s">
        <v>392</v>
      </c>
      <c r="AU85">
        <f t="shared" si="62"/>
        <v>64.912280701754383</v>
      </c>
      <c r="AV85">
        <f t="shared" si="54"/>
        <v>75</v>
      </c>
      <c r="AW85">
        <f t="shared" si="55"/>
        <v>98</v>
      </c>
      <c r="AX85">
        <f t="shared" si="56"/>
        <v>92</v>
      </c>
      <c r="AY85">
        <f t="shared" si="45"/>
        <v>99.960199920399845</v>
      </c>
      <c r="AZ85">
        <f t="shared" si="57"/>
        <v>78</v>
      </c>
      <c r="BA85">
        <f t="shared" si="58"/>
        <v>80.521694206546314</v>
      </c>
      <c r="BB85">
        <f t="shared" si="63"/>
        <v>8</v>
      </c>
      <c r="BC85" t="str">
        <f t="shared" si="59"/>
        <v>FLOUR-006</v>
      </c>
    </row>
    <row r="86" spans="2:55" ht="39.6" x14ac:dyDescent="0.3">
      <c r="B86" s="5" t="s">
        <v>29</v>
      </c>
      <c r="C86" s="15" t="s">
        <v>377</v>
      </c>
      <c r="D86" s="5" t="s">
        <v>394</v>
      </c>
      <c r="E86" s="5" t="s">
        <v>395</v>
      </c>
      <c r="F86" s="5" t="s">
        <v>78</v>
      </c>
      <c r="G86" s="5">
        <v>1400</v>
      </c>
      <c r="H86" s="5">
        <v>28</v>
      </c>
      <c r="I86" s="5">
        <v>5000</v>
      </c>
      <c r="J86" s="5">
        <v>140000</v>
      </c>
      <c r="K86" s="5">
        <v>7</v>
      </c>
      <c r="L86" s="5">
        <v>3</v>
      </c>
      <c r="M86" s="5">
        <v>1.2</v>
      </c>
      <c r="N86" s="5">
        <v>88</v>
      </c>
      <c r="O86" s="5">
        <v>90</v>
      </c>
      <c r="P86" s="5" t="s">
        <v>396</v>
      </c>
      <c r="Q86" s="5">
        <v>6.8</v>
      </c>
      <c r="R86" s="5">
        <v>7.5</v>
      </c>
      <c r="S86" s="5" t="s">
        <v>54</v>
      </c>
      <c r="T86" s="5">
        <v>6</v>
      </c>
      <c r="U86" s="5" t="s">
        <v>174</v>
      </c>
      <c r="V86" s="5" t="s">
        <v>54</v>
      </c>
      <c r="W86" s="5">
        <v>3</v>
      </c>
      <c r="X86" s="5" t="s">
        <v>68</v>
      </c>
      <c r="Y86" s="5">
        <v>35</v>
      </c>
      <c r="Z86" s="5">
        <v>6.5</v>
      </c>
      <c r="AA86" s="7">
        <v>0.09</v>
      </c>
      <c r="AB86" s="6">
        <v>8.9999999999999993E-3</v>
      </c>
      <c r="AC86" s="5" t="s">
        <v>397</v>
      </c>
      <c r="AD86" s="7">
        <v>0.8</v>
      </c>
      <c r="AF86" s="15" t="s">
        <v>377</v>
      </c>
      <c r="AG86" s="15" t="s">
        <v>395</v>
      </c>
      <c r="AH86">
        <f t="shared" si="60"/>
        <v>100</v>
      </c>
      <c r="AI86">
        <f t="shared" si="46"/>
        <v>68</v>
      </c>
      <c r="AJ86" s="12">
        <f t="shared" si="47"/>
        <v>76</v>
      </c>
      <c r="AK86">
        <f t="shared" si="48"/>
        <v>88</v>
      </c>
      <c r="AL86">
        <f t="shared" si="49"/>
        <v>65</v>
      </c>
      <c r="AM86">
        <f t="shared" si="50"/>
        <v>0</v>
      </c>
      <c r="AN86">
        <f t="shared" si="44"/>
        <v>99.000198000395997</v>
      </c>
      <c r="AO86">
        <f t="shared" si="51"/>
        <v>65</v>
      </c>
      <c r="AP86">
        <f t="shared" si="52"/>
        <v>77.370005940011865</v>
      </c>
      <c r="AQ86">
        <f t="shared" si="61"/>
        <v>11</v>
      </c>
      <c r="AR86" t="str">
        <f t="shared" si="53"/>
        <v>FLOUR-007</v>
      </c>
      <c r="AS86" s="15" t="s">
        <v>377</v>
      </c>
      <c r="AT86" s="15" t="s">
        <v>395</v>
      </c>
      <c r="AU86">
        <f t="shared" si="62"/>
        <v>100</v>
      </c>
      <c r="AV86">
        <f t="shared" si="54"/>
        <v>65</v>
      </c>
      <c r="AW86">
        <f t="shared" si="55"/>
        <v>88</v>
      </c>
      <c r="AX86">
        <f t="shared" si="56"/>
        <v>68</v>
      </c>
      <c r="AY86">
        <f t="shared" si="45"/>
        <v>99.000198000395997</v>
      </c>
      <c r="AZ86">
        <f t="shared" si="57"/>
        <v>0</v>
      </c>
      <c r="BA86">
        <f t="shared" si="58"/>
        <v>79.000009900019791</v>
      </c>
      <c r="BB86">
        <f t="shared" si="63"/>
        <v>9</v>
      </c>
      <c r="BC86" t="str">
        <f t="shared" si="59"/>
        <v>FLOUR-007</v>
      </c>
    </row>
    <row r="87" spans="2:55" ht="39.6" x14ac:dyDescent="0.3">
      <c r="B87" s="5" t="s">
        <v>29</v>
      </c>
      <c r="C87" s="15" t="s">
        <v>377</v>
      </c>
      <c r="D87" s="5" t="s">
        <v>398</v>
      </c>
      <c r="E87" s="5" t="s">
        <v>399</v>
      </c>
      <c r="F87" s="5" t="s">
        <v>72</v>
      </c>
      <c r="G87" s="5">
        <v>15</v>
      </c>
      <c r="H87" s="5">
        <v>85</v>
      </c>
      <c r="I87" s="5">
        <v>100</v>
      </c>
      <c r="J87" s="5">
        <v>8500</v>
      </c>
      <c r="K87" s="5">
        <v>4</v>
      </c>
      <c r="L87" s="5">
        <v>2</v>
      </c>
      <c r="M87" s="5">
        <v>0.4</v>
      </c>
      <c r="N87" s="5">
        <v>95</v>
      </c>
      <c r="O87" s="5">
        <v>30</v>
      </c>
      <c r="P87" s="5" t="s">
        <v>60</v>
      </c>
      <c r="Q87" s="5">
        <v>8.8000000000000007</v>
      </c>
      <c r="R87" s="5">
        <v>9.1</v>
      </c>
      <c r="S87" s="5" t="s">
        <v>90</v>
      </c>
      <c r="T87" s="5">
        <v>8.8000000000000007</v>
      </c>
      <c r="U87" s="5" t="s">
        <v>53</v>
      </c>
      <c r="V87" s="5" t="s">
        <v>54</v>
      </c>
      <c r="W87" s="5">
        <v>1</v>
      </c>
      <c r="X87" s="5" t="s">
        <v>38</v>
      </c>
      <c r="Y87" s="5">
        <v>12</v>
      </c>
      <c r="Z87" s="5">
        <v>8</v>
      </c>
      <c r="AA87" s="5" t="s">
        <v>400</v>
      </c>
      <c r="AB87" s="6">
        <v>4.0000000000000001E-3</v>
      </c>
      <c r="AC87" s="5" t="s">
        <v>401</v>
      </c>
      <c r="AD87" s="7">
        <v>0.7</v>
      </c>
      <c r="AF87" s="15" t="s">
        <v>377</v>
      </c>
      <c r="AG87" s="15" t="s">
        <v>399</v>
      </c>
      <c r="AH87">
        <f t="shared" si="60"/>
        <v>0</v>
      </c>
      <c r="AI87">
        <f t="shared" si="46"/>
        <v>88</v>
      </c>
      <c r="AJ87" s="12">
        <f t="shared" si="47"/>
        <v>92</v>
      </c>
      <c r="AK87">
        <f t="shared" si="48"/>
        <v>95</v>
      </c>
      <c r="AL87">
        <f t="shared" si="49"/>
        <v>80</v>
      </c>
      <c r="AM87">
        <f t="shared" si="50"/>
        <v>97</v>
      </c>
      <c r="AN87">
        <f t="shared" si="44"/>
        <v>99.980199960399915</v>
      </c>
      <c r="AO87">
        <f t="shared" si="51"/>
        <v>80</v>
      </c>
      <c r="AP87">
        <f t="shared" si="52"/>
        <v>67.499405998811994</v>
      </c>
      <c r="AQ87">
        <f t="shared" si="61"/>
        <v>12</v>
      </c>
      <c r="AR87" t="str">
        <f t="shared" si="53"/>
        <v>FLOUR-008</v>
      </c>
      <c r="AS87" s="15" t="s">
        <v>377</v>
      </c>
      <c r="AT87" s="15" t="s">
        <v>399</v>
      </c>
      <c r="AU87">
        <f t="shared" si="62"/>
        <v>0</v>
      </c>
      <c r="AV87">
        <f t="shared" si="54"/>
        <v>80</v>
      </c>
      <c r="AW87">
        <f t="shared" si="55"/>
        <v>95</v>
      </c>
      <c r="AX87">
        <f t="shared" si="56"/>
        <v>88</v>
      </c>
      <c r="AY87">
        <f t="shared" si="45"/>
        <v>99.980199960399915</v>
      </c>
      <c r="AZ87">
        <f t="shared" si="57"/>
        <v>97</v>
      </c>
      <c r="BA87">
        <f t="shared" si="58"/>
        <v>62.049009998020004</v>
      </c>
      <c r="BB87">
        <f t="shared" si="63"/>
        <v>12</v>
      </c>
      <c r="BC87" t="str">
        <f t="shared" si="59"/>
        <v>FLOUR-008</v>
      </c>
    </row>
    <row r="88" spans="2:55" ht="39.6" x14ac:dyDescent="0.3">
      <c r="B88" s="5" t="s">
        <v>29</v>
      </c>
      <c r="C88" s="15" t="s">
        <v>377</v>
      </c>
      <c r="D88" s="5" t="s">
        <v>402</v>
      </c>
      <c r="E88" s="5" t="s">
        <v>403</v>
      </c>
      <c r="F88" s="5" t="s">
        <v>84</v>
      </c>
      <c r="G88" s="5">
        <v>150</v>
      </c>
      <c r="H88" s="5">
        <v>45</v>
      </c>
      <c r="I88" s="5">
        <v>400</v>
      </c>
      <c r="J88" s="5">
        <v>18000</v>
      </c>
      <c r="K88" s="5">
        <v>3</v>
      </c>
      <c r="L88" s="5">
        <v>1</v>
      </c>
      <c r="M88" s="5">
        <v>0.5</v>
      </c>
      <c r="N88" s="5">
        <v>96</v>
      </c>
      <c r="O88" s="5">
        <v>45</v>
      </c>
      <c r="P88" s="5" t="s">
        <v>130</v>
      </c>
      <c r="Q88" s="5">
        <v>8.5</v>
      </c>
      <c r="R88" s="5">
        <v>8.8000000000000007</v>
      </c>
      <c r="S88" s="5" t="s">
        <v>404</v>
      </c>
      <c r="T88" s="5">
        <v>8.5</v>
      </c>
      <c r="U88" s="5" t="s">
        <v>36</v>
      </c>
      <c r="V88" s="5" t="s">
        <v>46</v>
      </c>
      <c r="W88" s="5">
        <v>2</v>
      </c>
      <c r="X88" s="5" t="s">
        <v>38</v>
      </c>
      <c r="Y88" s="5">
        <v>14</v>
      </c>
      <c r="Z88" s="5">
        <v>8.6999999999999993</v>
      </c>
      <c r="AA88" s="7">
        <v>0.12</v>
      </c>
      <c r="AB88" s="6">
        <v>4.4999999999999997E-3</v>
      </c>
      <c r="AC88" s="5" t="s">
        <v>380</v>
      </c>
      <c r="AD88" s="7">
        <v>0.66</v>
      </c>
      <c r="AF88" s="15" t="s">
        <v>377</v>
      </c>
      <c r="AG88" s="15" t="s">
        <v>403</v>
      </c>
      <c r="AH88">
        <f t="shared" si="60"/>
        <v>70.175438596491233</v>
      </c>
      <c r="AI88">
        <f t="shared" si="46"/>
        <v>85</v>
      </c>
      <c r="AJ88" s="12">
        <f t="shared" si="47"/>
        <v>90</v>
      </c>
      <c r="AK88">
        <f t="shared" si="48"/>
        <v>96</v>
      </c>
      <c r="AL88">
        <f t="shared" si="49"/>
        <v>85</v>
      </c>
      <c r="AM88">
        <f t="shared" si="50"/>
        <v>70</v>
      </c>
      <c r="AN88">
        <f t="shared" si="44"/>
        <v>99.920199840399675</v>
      </c>
      <c r="AO88">
        <f t="shared" si="51"/>
        <v>87</v>
      </c>
      <c r="AP88">
        <f t="shared" si="52"/>
        <v>83.431465644334779</v>
      </c>
      <c r="AQ88">
        <f t="shared" si="61"/>
        <v>8</v>
      </c>
      <c r="AR88" t="str">
        <f t="shared" si="53"/>
        <v>FLOUR-009</v>
      </c>
      <c r="AS88" s="15" t="s">
        <v>377</v>
      </c>
      <c r="AT88" s="15" t="s">
        <v>403</v>
      </c>
      <c r="AU88">
        <f t="shared" si="62"/>
        <v>70.175438596491233</v>
      </c>
      <c r="AV88">
        <f t="shared" si="54"/>
        <v>85</v>
      </c>
      <c r="AW88">
        <f t="shared" si="55"/>
        <v>96</v>
      </c>
      <c r="AX88">
        <f t="shared" si="56"/>
        <v>85</v>
      </c>
      <c r="AY88">
        <f t="shared" si="45"/>
        <v>99.920199840399675</v>
      </c>
      <c r="AZ88">
        <f t="shared" si="57"/>
        <v>70</v>
      </c>
      <c r="BA88">
        <f t="shared" si="58"/>
        <v>82.748641570967351</v>
      </c>
      <c r="BB88">
        <f t="shared" si="63"/>
        <v>7</v>
      </c>
      <c r="BC88" t="str">
        <f t="shared" si="59"/>
        <v>FLOUR-009</v>
      </c>
    </row>
    <row r="89" spans="2:55" ht="39.6" x14ac:dyDescent="0.3">
      <c r="B89" s="5" t="s">
        <v>29</v>
      </c>
      <c r="C89" s="15" t="s">
        <v>377</v>
      </c>
      <c r="D89" s="5" t="s">
        <v>405</v>
      </c>
      <c r="E89" s="5" t="s">
        <v>406</v>
      </c>
      <c r="F89" s="5" t="s">
        <v>43</v>
      </c>
      <c r="G89" s="5">
        <v>250</v>
      </c>
      <c r="H89" s="5">
        <v>31</v>
      </c>
      <c r="I89" s="5">
        <v>1000</v>
      </c>
      <c r="J89" s="5">
        <v>31000</v>
      </c>
      <c r="K89" s="5">
        <v>2</v>
      </c>
      <c r="L89" s="5">
        <v>1</v>
      </c>
      <c r="M89" s="5">
        <v>0.6</v>
      </c>
      <c r="N89" s="5">
        <v>97</v>
      </c>
      <c r="O89" s="5">
        <v>40</v>
      </c>
      <c r="P89" s="5" t="s">
        <v>407</v>
      </c>
      <c r="Q89" s="5">
        <v>7.8</v>
      </c>
      <c r="R89" s="5">
        <v>9.1999999999999993</v>
      </c>
      <c r="S89" s="5" t="s">
        <v>67</v>
      </c>
      <c r="T89" s="5">
        <v>7.5</v>
      </c>
      <c r="U89" s="5" t="s">
        <v>53</v>
      </c>
      <c r="V89" s="5" t="s">
        <v>54</v>
      </c>
      <c r="W89" s="5">
        <v>1</v>
      </c>
      <c r="X89" s="5" t="s">
        <v>38</v>
      </c>
      <c r="Y89" s="5">
        <v>20</v>
      </c>
      <c r="Z89" s="5">
        <v>8.5</v>
      </c>
      <c r="AA89" s="6">
        <v>0.105</v>
      </c>
      <c r="AB89" s="6">
        <v>5.4999999999999997E-3</v>
      </c>
      <c r="AC89" s="5" t="s">
        <v>331</v>
      </c>
      <c r="AD89" s="7">
        <v>0.72</v>
      </c>
      <c r="AF89" s="15" t="s">
        <v>377</v>
      </c>
      <c r="AG89" s="15" t="s">
        <v>406</v>
      </c>
      <c r="AH89">
        <f t="shared" si="60"/>
        <v>94.736842105263165</v>
      </c>
      <c r="AI89">
        <f t="shared" si="46"/>
        <v>78</v>
      </c>
      <c r="AJ89" s="12">
        <f t="shared" si="47"/>
        <v>88</v>
      </c>
      <c r="AK89">
        <f t="shared" si="48"/>
        <v>97</v>
      </c>
      <c r="AL89">
        <f t="shared" si="49"/>
        <v>90</v>
      </c>
      <c r="AM89">
        <f t="shared" si="50"/>
        <v>50</v>
      </c>
      <c r="AN89">
        <f t="shared" si="44"/>
        <v>99.800199600399196</v>
      </c>
      <c r="AO89">
        <f t="shared" si="51"/>
        <v>85</v>
      </c>
      <c r="AP89">
        <f t="shared" si="52"/>
        <v>87.128216514327775</v>
      </c>
      <c r="AQ89">
        <f t="shared" si="61"/>
        <v>3</v>
      </c>
      <c r="AR89" t="str">
        <f t="shared" si="53"/>
        <v>FLOUR-010</v>
      </c>
      <c r="AS89" s="15" t="s">
        <v>377</v>
      </c>
      <c r="AT89" s="15" t="s">
        <v>406</v>
      </c>
      <c r="AU89">
        <f t="shared" si="62"/>
        <v>94.736842105263165</v>
      </c>
      <c r="AV89">
        <f t="shared" si="54"/>
        <v>90</v>
      </c>
      <c r="AW89">
        <f t="shared" si="55"/>
        <v>97</v>
      </c>
      <c r="AX89">
        <f t="shared" si="56"/>
        <v>78</v>
      </c>
      <c r="AY89">
        <f t="shared" si="45"/>
        <v>99.800199600399196</v>
      </c>
      <c r="AZ89">
        <f t="shared" si="57"/>
        <v>50</v>
      </c>
      <c r="BA89">
        <f t="shared" si="58"/>
        <v>89.511062611598916</v>
      </c>
      <c r="BB89">
        <f t="shared" si="63"/>
        <v>2</v>
      </c>
      <c r="BC89" t="str">
        <f t="shared" si="59"/>
        <v>FLOUR-010</v>
      </c>
    </row>
    <row r="90" spans="2:55" ht="39.6" x14ac:dyDescent="0.3">
      <c r="B90" s="5" t="s">
        <v>29</v>
      </c>
      <c r="C90" s="15" t="s">
        <v>377</v>
      </c>
      <c r="D90" s="5" t="s">
        <v>408</v>
      </c>
      <c r="E90" s="5" t="s">
        <v>409</v>
      </c>
      <c r="F90" s="5" t="s">
        <v>50</v>
      </c>
      <c r="G90" s="5">
        <v>150</v>
      </c>
      <c r="H90" s="5">
        <v>52</v>
      </c>
      <c r="I90" s="5">
        <v>500</v>
      </c>
      <c r="J90" s="5">
        <v>26000</v>
      </c>
      <c r="K90" s="5">
        <v>10</v>
      </c>
      <c r="L90" s="5">
        <v>5</v>
      </c>
      <c r="M90" s="5">
        <v>0.3</v>
      </c>
      <c r="N90" s="5">
        <v>92</v>
      </c>
      <c r="O90" s="5">
        <v>60</v>
      </c>
      <c r="P90" s="5" t="s">
        <v>44</v>
      </c>
      <c r="Q90" s="5">
        <v>8.9</v>
      </c>
      <c r="R90" s="5">
        <v>8.3000000000000007</v>
      </c>
      <c r="S90" s="5" t="s">
        <v>410</v>
      </c>
      <c r="T90" s="5">
        <v>8.9</v>
      </c>
      <c r="U90" s="5" t="s">
        <v>36</v>
      </c>
      <c r="V90" s="5" t="s">
        <v>37</v>
      </c>
      <c r="W90" s="5">
        <v>1</v>
      </c>
      <c r="X90" s="5" t="s">
        <v>38</v>
      </c>
      <c r="Y90" s="5">
        <v>30</v>
      </c>
      <c r="Z90" s="5">
        <v>8</v>
      </c>
      <c r="AA90" s="6">
        <v>0.13500000000000001</v>
      </c>
      <c r="AB90" s="6">
        <v>4.0000000000000001E-3</v>
      </c>
      <c r="AC90" s="5" t="s">
        <v>383</v>
      </c>
      <c r="AD90" s="7">
        <v>0.64</v>
      </c>
      <c r="AF90" s="15" t="s">
        <v>377</v>
      </c>
      <c r="AG90" s="15" t="s">
        <v>409</v>
      </c>
      <c r="AH90">
        <f t="shared" si="60"/>
        <v>57.894736842105267</v>
      </c>
      <c r="AI90">
        <f t="shared" si="46"/>
        <v>89</v>
      </c>
      <c r="AJ90" s="12">
        <f t="shared" si="47"/>
        <v>94</v>
      </c>
      <c r="AK90">
        <f t="shared" si="48"/>
        <v>92</v>
      </c>
      <c r="AL90">
        <f t="shared" si="49"/>
        <v>50</v>
      </c>
      <c r="AM90">
        <f t="shared" si="50"/>
        <v>70</v>
      </c>
      <c r="AN90">
        <f t="shared" si="44"/>
        <v>99.900199800399605</v>
      </c>
      <c r="AO90">
        <f t="shared" si="51"/>
        <v>80</v>
      </c>
      <c r="AP90">
        <f t="shared" si="52"/>
        <v>77.7206902045383</v>
      </c>
      <c r="AQ90">
        <f t="shared" si="61"/>
        <v>10</v>
      </c>
      <c r="AR90" t="str">
        <f t="shared" si="53"/>
        <v>FLOUR-011</v>
      </c>
      <c r="AS90" s="15" t="s">
        <v>377</v>
      </c>
      <c r="AT90" s="15" t="s">
        <v>409</v>
      </c>
      <c r="AU90">
        <f t="shared" si="62"/>
        <v>57.894736842105267</v>
      </c>
      <c r="AV90">
        <f t="shared" si="54"/>
        <v>50</v>
      </c>
      <c r="AW90">
        <f t="shared" si="55"/>
        <v>92</v>
      </c>
      <c r="AX90">
        <f t="shared" si="56"/>
        <v>89</v>
      </c>
      <c r="AY90">
        <f t="shared" si="45"/>
        <v>99.900199800399605</v>
      </c>
      <c r="AZ90">
        <f t="shared" si="57"/>
        <v>70</v>
      </c>
      <c r="BA90">
        <f t="shared" si="58"/>
        <v>70.11343104265157</v>
      </c>
      <c r="BB90">
        <f t="shared" si="63"/>
        <v>11</v>
      </c>
      <c r="BC90" t="str">
        <f t="shared" si="59"/>
        <v>FLOUR-011</v>
      </c>
    </row>
    <row r="91" spans="2:55" ht="39.6" x14ac:dyDescent="0.3">
      <c r="B91" s="5" t="s">
        <v>29</v>
      </c>
      <c r="C91" s="15" t="s">
        <v>377</v>
      </c>
      <c r="D91" s="5" t="s">
        <v>411</v>
      </c>
      <c r="E91" s="5" t="s">
        <v>412</v>
      </c>
      <c r="F91" s="5" t="s">
        <v>59</v>
      </c>
      <c r="G91" s="5">
        <v>200</v>
      </c>
      <c r="H91" s="5">
        <v>58</v>
      </c>
      <c r="I91" s="5">
        <v>150</v>
      </c>
      <c r="J91" s="5">
        <v>8700</v>
      </c>
      <c r="K91" s="5">
        <v>5</v>
      </c>
      <c r="L91" s="5">
        <v>2</v>
      </c>
      <c r="M91" s="5">
        <v>0.2</v>
      </c>
      <c r="N91" s="5">
        <v>94</v>
      </c>
      <c r="O91" s="5">
        <v>30</v>
      </c>
      <c r="P91" s="5" t="s">
        <v>118</v>
      </c>
      <c r="Q91" s="5">
        <v>9.1</v>
      </c>
      <c r="R91" s="5">
        <v>8.9</v>
      </c>
      <c r="S91" s="5" t="s">
        <v>108</v>
      </c>
      <c r="T91" s="5">
        <v>9.8000000000000007</v>
      </c>
      <c r="U91" s="5" t="s">
        <v>53</v>
      </c>
      <c r="V91" s="5" t="s">
        <v>54</v>
      </c>
      <c r="W91" s="5">
        <v>2</v>
      </c>
      <c r="X91" s="5" t="s">
        <v>38</v>
      </c>
      <c r="Y91" s="5">
        <v>10</v>
      </c>
      <c r="Z91" s="5">
        <v>8.9</v>
      </c>
      <c r="AA91" s="7">
        <v>0.12</v>
      </c>
      <c r="AB91" s="6">
        <v>3.0000000000000001E-3</v>
      </c>
      <c r="AC91" s="5" t="s">
        <v>380</v>
      </c>
      <c r="AD91" s="7">
        <v>0.63</v>
      </c>
      <c r="AF91" s="15" t="s">
        <v>377</v>
      </c>
      <c r="AG91" s="15" t="s">
        <v>412</v>
      </c>
      <c r="AH91">
        <f t="shared" si="60"/>
        <v>47.368421052631582</v>
      </c>
      <c r="AI91">
        <f t="shared" si="46"/>
        <v>91</v>
      </c>
      <c r="AJ91" s="12">
        <f t="shared" si="47"/>
        <v>96</v>
      </c>
      <c r="AK91">
        <f t="shared" si="48"/>
        <v>94</v>
      </c>
      <c r="AL91">
        <f t="shared" si="49"/>
        <v>75</v>
      </c>
      <c r="AM91">
        <f t="shared" si="50"/>
        <v>60</v>
      </c>
      <c r="AN91">
        <f t="shared" si="44"/>
        <v>99.97019994039988</v>
      </c>
      <c r="AO91">
        <f t="shared" si="51"/>
        <v>89</v>
      </c>
      <c r="AP91">
        <f t="shared" si="52"/>
        <v>78.371211261369893</v>
      </c>
      <c r="AQ91">
        <f t="shared" si="61"/>
        <v>9</v>
      </c>
      <c r="AR91" t="str">
        <f t="shared" si="53"/>
        <v>FLOUR-012</v>
      </c>
      <c r="AS91" s="15" t="s">
        <v>377</v>
      </c>
      <c r="AT91" s="15" t="s">
        <v>412</v>
      </c>
      <c r="AU91">
        <f t="shared" si="62"/>
        <v>47.368421052631582</v>
      </c>
      <c r="AV91">
        <f t="shared" si="54"/>
        <v>75</v>
      </c>
      <c r="AW91">
        <f t="shared" si="55"/>
        <v>94</v>
      </c>
      <c r="AX91">
        <f t="shared" si="56"/>
        <v>91</v>
      </c>
      <c r="AY91">
        <f t="shared" si="45"/>
        <v>99.97019994039988</v>
      </c>
      <c r="AZ91">
        <f t="shared" si="57"/>
        <v>60</v>
      </c>
      <c r="BA91">
        <f t="shared" si="58"/>
        <v>73.409036312809476</v>
      </c>
      <c r="BB91">
        <f t="shared" si="63"/>
        <v>10</v>
      </c>
      <c r="BC91" t="str">
        <f t="shared" si="59"/>
        <v>FLOUR-012</v>
      </c>
    </row>
    <row r="92" spans="2:55" ht="39.6" x14ac:dyDescent="0.3">
      <c r="B92" s="5" t="s">
        <v>29</v>
      </c>
      <c r="C92" s="15" t="s">
        <v>413</v>
      </c>
      <c r="D92" s="5" t="s">
        <v>414</v>
      </c>
      <c r="E92" s="5" t="s">
        <v>415</v>
      </c>
      <c r="F92" s="5" t="s">
        <v>72</v>
      </c>
      <c r="G92" s="5">
        <v>20</v>
      </c>
      <c r="H92" s="5">
        <v>102</v>
      </c>
      <c r="I92" s="5">
        <v>100</v>
      </c>
      <c r="J92" s="5">
        <v>10200</v>
      </c>
      <c r="K92" s="5">
        <v>7</v>
      </c>
      <c r="L92" s="5">
        <v>3</v>
      </c>
      <c r="M92" s="5">
        <v>0.5</v>
      </c>
      <c r="N92" s="5">
        <v>98</v>
      </c>
      <c r="O92" s="5">
        <v>30</v>
      </c>
      <c r="P92" s="5" t="s">
        <v>34</v>
      </c>
      <c r="Q92" s="5">
        <v>8</v>
      </c>
      <c r="R92" s="5">
        <v>9.6999999999999993</v>
      </c>
      <c r="S92" s="5" t="s">
        <v>67</v>
      </c>
      <c r="T92" s="5">
        <v>7.8</v>
      </c>
      <c r="U92" s="5" t="s">
        <v>53</v>
      </c>
      <c r="V92" s="5" t="s">
        <v>54</v>
      </c>
      <c r="W92" s="5">
        <v>1</v>
      </c>
      <c r="X92" s="5" t="s">
        <v>38</v>
      </c>
      <c r="Y92" s="5">
        <v>20</v>
      </c>
      <c r="Z92" s="5">
        <v>8.5</v>
      </c>
      <c r="AA92" s="5" t="s">
        <v>192</v>
      </c>
      <c r="AB92" s="5" t="s">
        <v>416</v>
      </c>
      <c r="AC92" s="6">
        <v>3.0000000000000001E-3</v>
      </c>
      <c r="AD92" s="5"/>
      <c r="AF92" s="15" t="s">
        <v>413</v>
      </c>
      <c r="AG92" s="15" t="s">
        <v>415</v>
      </c>
      <c r="AH92">
        <f t="shared" ref="AH92:AH101" si="64">100-((H92-MIN($H$92:$H$101))/(MAX($H$92:$H$101)-MIN($H$92:$H$101))*100)</f>
        <v>89.696969696969703</v>
      </c>
      <c r="AI92">
        <f t="shared" si="46"/>
        <v>80</v>
      </c>
      <c r="AJ92" s="12">
        <f t="shared" si="47"/>
        <v>90</v>
      </c>
      <c r="AK92">
        <f t="shared" si="48"/>
        <v>98</v>
      </c>
      <c r="AL92">
        <f t="shared" si="49"/>
        <v>65</v>
      </c>
      <c r="AM92">
        <f t="shared" si="50"/>
        <v>96</v>
      </c>
      <c r="AN92">
        <f t="shared" si="44"/>
        <v>99.980199960399915</v>
      </c>
      <c r="AO92">
        <f t="shared" si="51"/>
        <v>85</v>
      </c>
      <c r="AP92">
        <f t="shared" si="52"/>
        <v>86.623648423054419</v>
      </c>
      <c r="AQ92">
        <f>RANK(AP92, $AP$92:$AP$101, 0)</f>
        <v>2</v>
      </c>
      <c r="AR92" t="str">
        <f t="shared" si="53"/>
        <v>OIL-001</v>
      </c>
      <c r="AS92" s="15" t="s">
        <v>413</v>
      </c>
      <c r="AT92" s="15" t="s">
        <v>415</v>
      </c>
      <c r="AU92">
        <f t="shared" ref="AU92:AU101" si="65">100-((H92-MIN($H$92:$H$101))/(MAX($H$92:$H$101)-MIN($H$92:$H$101))*100)</f>
        <v>89.696969696969703</v>
      </c>
      <c r="AV92">
        <f t="shared" si="54"/>
        <v>65</v>
      </c>
      <c r="AW92">
        <f t="shared" si="55"/>
        <v>98</v>
      </c>
      <c r="AX92">
        <f t="shared" si="56"/>
        <v>80</v>
      </c>
      <c r="AY92">
        <f t="shared" si="45"/>
        <v>99.980199960399915</v>
      </c>
      <c r="AZ92">
        <f t="shared" si="57"/>
        <v>96</v>
      </c>
      <c r="BA92">
        <f t="shared" si="58"/>
        <v>84.558100907110898</v>
      </c>
      <c r="BB92">
        <f>RANK(BA92, $BA$92:$BA$101, 0)</f>
        <v>2</v>
      </c>
      <c r="BC92" t="str">
        <f t="shared" si="59"/>
        <v>OIL-001</v>
      </c>
    </row>
    <row r="93" spans="2:55" ht="39.6" x14ac:dyDescent="0.3">
      <c r="B93" s="5" t="s">
        <v>29</v>
      </c>
      <c r="C93" s="15" t="s">
        <v>413</v>
      </c>
      <c r="D93" s="5" t="s">
        <v>417</v>
      </c>
      <c r="E93" s="5" t="s">
        <v>418</v>
      </c>
      <c r="F93" s="5" t="s">
        <v>43</v>
      </c>
      <c r="G93" s="5">
        <v>250</v>
      </c>
      <c r="H93" s="5">
        <v>98</v>
      </c>
      <c r="I93" s="5">
        <v>300</v>
      </c>
      <c r="J93" s="5">
        <v>29400</v>
      </c>
      <c r="K93" s="5">
        <v>10</v>
      </c>
      <c r="L93" s="5">
        <v>5</v>
      </c>
      <c r="M93" s="5">
        <v>0.4</v>
      </c>
      <c r="N93" s="5">
        <v>95</v>
      </c>
      <c r="O93" s="5">
        <v>45</v>
      </c>
      <c r="P93" s="5" t="s">
        <v>130</v>
      </c>
      <c r="Q93" s="5">
        <v>8.8000000000000007</v>
      </c>
      <c r="R93" s="5">
        <v>9</v>
      </c>
      <c r="S93" s="5" t="s">
        <v>74</v>
      </c>
      <c r="T93" s="5">
        <v>8.5</v>
      </c>
      <c r="U93" s="5" t="s">
        <v>36</v>
      </c>
      <c r="V93" s="5" t="s">
        <v>46</v>
      </c>
      <c r="W93" s="5">
        <v>2</v>
      </c>
      <c r="X93" s="5" t="s">
        <v>38</v>
      </c>
      <c r="Y93" s="5">
        <v>30</v>
      </c>
      <c r="Z93" s="5">
        <v>8.8000000000000007</v>
      </c>
      <c r="AA93" s="5" t="s">
        <v>192</v>
      </c>
      <c r="AB93" s="5" t="s">
        <v>419</v>
      </c>
      <c r="AC93" s="6">
        <v>2E-3</v>
      </c>
      <c r="AD93" s="5"/>
      <c r="AF93" s="15" t="s">
        <v>413</v>
      </c>
      <c r="AG93" s="15" t="s">
        <v>418</v>
      </c>
      <c r="AH93">
        <f t="shared" si="64"/>
        <v>92.121212121212125</v>
      </c>
      <c r="AI93">
        <f t="shared" si="46"/>
        <v>88</v>
      </c>
      <c r="AJ93" s="12">
        <f t="shared" si="47"/>
        <v>92</v>
      </c>
      <c r="AK93">
        <f t="shared" si="48"/>
        <v>95</v>
      </c>
      <c r="AL93">
        <f t="shared" si="49"/>
        <v>50</v>
      </c>
      <c r="AM93">
        <f t="shared" si="50"/>
        <v>50</v>
      </c>
      <c r="AN93">
        <f t="shared" si="44"/>
        <v>99.94019988039976</v>
      </c>
      <c r="AO93">
        <f t="shared" si="51"/>
        <v>88</v>
      </c>
      <c r="AP93">
        <f t="shared" si="52"/>
        <v>85.33850902671503</v>
      </c>
      <c r="AQ93">
        <f t="shared" ref="AQ93:AQ101" si="66">RANK(AP93, $AP$92:$AP$101, 0)</f>
        <v>3</v>
      </c>
      <c r="AR93" t="str">
        <f t="shared" si="53"/>
        <v>OIL-002</v>
      </c>
      <c r="AS93" s="15" t="s">
        <v>413</v>
      </c>
      <c r="AT93" s="15" t="s">
        <v>418</v>
      </c>
      <c r="AU93">
        <f t="shared" si="65"/>
        <v>92.121212121212125</v>
      </c>
      <c r="AV93">
        <f t="shared" si="54"/>
        <v>50</v>
      </c>
      <c r="AW93">
        <f t="shared" si="55"/>
        <v>95</v>
      </c>
      <c r="AX93">
        <f t="shared" si="56"/>
        <v>88</v>
      </c>
      <c r="AY93">
        <f t="shared" si="45"/>
        <v>99.94019988039976</v>
      </c>
      <c r="AZ93">
        <f t="shared" si="57"/>
        <v>50</v>
      </c>
      <c r="BA93">
        <f t="shared" si="58"/>
        <v>79.833373630383633</v>
      </c>
      <c r="BB93">
        <f t="shared" ref="BB93:BB101" si="67">RANK(BA93, $BA$92:$BA$101, 0)</f>
        <v>4</v>
      </c>
      <c r="BC93" t="str">
        <f t="shared" si="59"/>
        <v>OIL-002</v>
      </c>
    </row>
    <row r="94" spans="2:55" ht="39.6" x14ac:dyDescent="0.3">
      <c r="B94" s="5" t="s">
        <v>29</v>
      </c>
      <c r="C94" s="15" t="s">
        <v>413</v>
      </c>
      <c r="D94" s="5" t="s">
        <v>420</v>
      </c>
      <c r="E94" s="5" t="s">
        <v>421</v>
      </c>
      <c r="F94" s="5" t="s">
        <v>50</v>
      </c>
      <c r="G94" s="5">
        <v>150</v>
      </c>
      <c r="H94" s="5">
        <v>105</v>
      </c>
      <c r="I94" s="5">
        <v>150</v>
      </c>
      <c r="J94" s="5">
        <v>15750</v>
      </c>
      <c r="K94" s="5">
        <v>14</v>
      </c>
      <c r="L94" s="5">
        <v>7</v>
      </c>
      <c r="M94" s="5">
        <v>0.2</v>
      </c>
      <c r="N94" s="5">
        <v>92</v>
      </c>
      <c r="O94" s="5">
        <v>30</v>
      </c>
      <c r="P94" s="5" t="s">
        <v>73</v>
      </c>
      <c r="Q94" s="5">
        <v>9.1999999999999993</v>
      </c>
      <c r="R94" s="5">
        <v>8.5</v>
      </c>
      <c r="S94" s="5" t="s">
        <v>422</v>
      </c>
      <c r="T94" s="5">
        <v>9</v>
      </c>
      <c r="U94" s="5" t="s">
        <v>36</v>
      </c>
      <c r="V94" s="5" t="s">
        <v>37</v>
      </c>
      <c r="W94" s="5">
        <v>1</v>
      </c>
      <c r="X94" s="5" t="s">
        <v>38</v>
      </c>
      <c r="Y94" s="5">
        <v>45</v>
      </c>
      <c r="Z94" s="5">
        <v>8</v>
      </c>
      <c r="AA94" s="5" t="s">
        <v>423</v>
      </c>
      <c r="AB94" s="5" t="s">
        <v>424</v>
      </c>
      <c r="AC94" s="6">
        <v>1E-3</v>
      </c>
      <c r="AD94" s="5"/>
      <c r="AF94" s="15" t="s">
        <v>413</v>
      </c>
      <c r="AG94" s="15" t="s">
        <v>421</v>
      </c>
      <c r="AH94">
        <f t="shared" si="64"/>
        <v>87.878787878787875</v>
      </c>
      <c r="AI94">
        <f t="shared" si="46"/>
        <v>92</v>
      </c>
      <c r="AJ94" s="12">
        <f t="shared" si="47"/>
        <v>96</v>
      </c>
      <c r="AK94">
        <f t="shared" si="48"/>
        <v>92</v>
      </c>
      <c r="AL94">
        <f t="shared" si="49"/>
        <v>30</v>
      </c>
      <c r="AM94">
        <f t="shared" si="50"/>
        <v>70</v>
      </c>
      <c r="AN94">
        <f t="shared" si="44"/>
        <v>99.97019994039988</v>
      </c>
      <c r="AO94">
        <f t="shared" si="51"/>
        <v>80</v>
      </c>
      <c r="AP94">
        <f t="shared" si="52"/>
        <v>84.268802967908968</v>
      </c>
      <c r="AQ94">
        <f t="shared" si="66"/>
        <v>5</v>
      </c>
      <c r="AR94" t="str">
        <f t="shared" si="53"/>
        <v>OIL-003</v>
      </c>
      <c r="AS94" s="15" t="s">
        <v>413</v>
      </c>
      <c r="AT94" s="15" t="s">
        <v>421</v>
      </c>
      <c r="AU94">
        <f t="shared" si="65"/>
        <v>87.878787878787875</v>
      </c>
      <c r="AV94">
        <f t="shared" si="54"/>
        <v>30</v>
      </c>
      <c r="AW94">
        <f t="shared" si="55"/>
        <v>92</v>
      </c>
      <c r="AX94">
        <f t="shared" si="56"/>
        <v>92</v>
      </c>
      <c r="AY94">
        <f t="shared" si="45"/>
        <v>99.97019994039988</v>
      </c>
      <c r="AZ94">
        <f t="shared" si="57"/>
        <v>70</v>
      </c>
      <c r="BA94">
        <f t="shared" si="58"/>
        <v>74.562146360656357</v>
      </c>
      <c r="BB94">
        <f t="shared" si="67"/>
        <v>7</v>
      </c>
      <c r="BC94" t="str">
        <f t="shared" si="59"/>
        <v>OIL-003</v>
      </c>
    </row>
    <row r="95" spans="2:55" ht="39.6" x14ac:dyDescent="0.3">
      <c r="B95" s="5" t="s">
        <v>29</v>
      </c>
      <c r="C95" s="15" t="s">
        <v>413</v>
      </c>
      <c r="D95" s="5" t="s">
        <v>425</v>
      </c>
      <c r="E95" s="5" t="s">
        <v>426</v>
      </c>
      <c r="F95" s="5" t="s">
        <v>50</v>
      </c>
      <c r="G95" s="5">
        <v>150</v>
      </c>
      <c r="H95" s="5">
        <v>115</v>
      </c>
      <c r="I95" s="5">
        <v>200</v>
      </c>
      <c r="J95" s="5">
        <v>23000</v>
      </c>
      <c r="K95" s="5">
        <v>21</v>
      </c>
      <c r="L95" s="5">
        <v>10</v>
      </c>
      <c r="M95" s="5">
        <v>0.3</v>
      </c>
      <c r="N95" s="5">
        <v>90</v>
      </c>
      <c r="O95" s="5" t="s">
        <v>154</v>
      </c>
      <c r="P95" s="5" t="s">
        <v>34</v>
      </c>
      <c r="Q95" s="5">
        <v>8.5</v>
      </c>
      <c r="R95" s="5">
        <v>8</v>
      </c>
      <c r="S95" s="5" t="s">
        <v>206</v>
      </c>
      <c r="T95" s="5">
        <v>8.1999999999999993</v>
      </c>
      <c r="U95" s="5" t="s">
        <v>36</v>
      </c>
      <c r="V95" s="5" t="s">
        <v>46</v>
      </c>
      <c r="W95" s="5">
        <v>1</v>
      </c>
      <c r="X95" s="5" t="s">
        <v>68</v>
      </c>
      <c r="Y95" s="5">
        <v>60</v>
      </c>
      <c r="Z95" s="5">
        <v>7.5</v>
      </c>
      <c r="AA95" s="5" t="s">
        <v>427</v>
      </c>
      <c r="AB95" s="5" t="s">
        <v>416</v>
      </c>
      <c r="AC95" s="6">
        <v>2.5000000000000001E-3</v>
      </c>
      <c r="AD95" s="5"/>
      <c r="AF95" s="15" t="s">
        <v>413</v>
      </c>
      <c r="AG95" s="15" t="s">
        <v>426</v>
      </c>
      <c r="AH95">
        <f t="shared" si="64"/>
        <v>81.818181818181813</v>
      </c>
      <c r="AI95">
        <f t="shared" si="46"/>
        <v>85</v>
      </c>
      <c r="AJ95" s="12">
        <f t="shared" si="47"/>
        <v>94</v>
      </c>
      <c r="AK95">
        <f t="shared" si="48"/>
        <v>90</v>
      </c>
      <c r="AL95">
        <f t="shared" si="49"/>
        <v>0</v>
      </c>
      <c r="AM95">
        <f t="shared" si="50"/>
        <v>70</v>
      </c>
      <c r="AN95">
        <f t="shared" si="44"/>
        <v>99.960199920399845</v>
      </c>
      <c r="AO95">
        <f t="shared" si="51"/>
        <v>75</v>
      </c>
      <c r="AP95">
        <f t="shared" si="52"/>
        <v>77.303351452157457</v>
      </c>
      <c r="AQ95">
        <f t="shared" si="66"/>
        <v>9</v>
      </c>
      <c r="AR95" t="str">
        <f t="shared" si="53"/>
        <v>OIL-004</v>
      </c>
      <c r="AS95" s="15" t="s">
        <v>413</v>
      </c>
      <c r="AT95" s="15" t="s">
        <v>426</v>
      </c>
      <c r="AU95">
        <f t="shared" si="65"/>
        <v>81.818181818181813</v>
      </c>
      <c r="AV95">
        <f t="shared" si="54"/>
        <v>0</v>
      </c>
      <c r="AW95">
        <f t="shared" si="55"/>
        <v>90</v>
      </c>
      <c r="AX95">
        <f t="shared" si="56"/>
        <v>85</v>
      </c>
      <c r="AY95">
        <f t="shared" si="45"/>
        <v>99.960199920399845</v>
      </c>
      <c r="AZ95">
        <f t="shared" si="57"/>
        <v>70</v>
      </c>
      <c r="BA95">
        <f t="shared" si="58"/>
        <v>63.793464541474542</v>
      </c>
      <c r="BB95">
        <f t="shared" si="67"/>
        <v>9</v>
      </c>
      <c r="BC95" t="str">
        <f t="shared" si="59"/>
        <v>OIL-004</v>
      </c>
    </row>
    <row r="96" spans="2:55" ht="39.6" x14ac:dyDescent="0.3">
      <c r="B96" s="5" t="s">
        <v>29</v>
      </c>
      <c r="C96" s="15" t="s">
        <v>413</v>
      </c>
      <c r="D96" s="5" t="s">
        <v>428</v>
      </c>
      <c r="E96" s="5" t="s">
        <v>429</v>
      </c>
      <c r="F96" s="5" t="s">
        <v>59</v>
      </c>
      <c r="G96" s="5">
        <v>200</v>
      </c>
      <c r="H96" s="5">
        <v>125</v>
      </c>
      <c r="I96" s="5">
        <v>50</v>
      </c>
      <c r="J96" s="5">
        <v>6250</v>
      </c>
      <c r="K96" s="5">
        <v>10</v>
      </c>
      <c r="L96" s="5">
        <v>5</v>
      </c>
      <c r="M96" s="5">
        <v>0.1</v>
      </c>
      <c r="N96" s="5">
        <v>95</v>
      </c>
      <c r="O96" s="5">
        <v>30</v>
      </c>
      <c r="P96" s="5" t="s">
        <v>88</v>
      </c>
      <c r="Q96" s="5">
        <v>9.5</v>
      </c>
      <c r="R96" s="5">
        <v>8.8000000000000007</v>
      </c>
      <c r="S96" s="5" t="s">
        <v>62</v>
      </c>
      <c r="T96" s="5">
        <v>9.5</v>
      </c>
      <c r="U96" s="5" t="s">
        <v>53</v>
      </c>
      <c r="V96" s="5" t="s">
        <v>54</v>
      </c>
      <c r="W96" s="5">
        <v>2</v>
      </c>
      <c r="X96" s="5" t="s">
        <v>38</v>
      </c>
      <c r="Y96" s="5">
        <v>15</v>
      </c>
      <c r="Z96" s="5">
        <v>9</v>
      </c>
      <c r="AA96" s="5" t="s">
        <v>430</v>
      </c>
      <c r="AB96" s="5" t="s">
        <v>431</v>
      </c>
      <c r="AC96" s="6">
        <v>1.5E-3</v>
      </c>
      <c r="AD96" s="5"/>
      <c r="AF96" s="15" t="s">
        <v>413</v>
      </c>
      <c r="AG96" s="15" t="s">
        <v>429</v>
      </c>
      <c r="AH96">
        <f t="shared" si="64"/>
        <v>75.757575757575751</v>
      </c>
      <c r="AI96">
        <f t="shared" si="46"/>
        <v>95</v>
      </c>
      <c r="AJ96" s="12">
        <f t="shared" si="47"/>
        <v>98</v>
      </c>
      <c r="AK96">
        <f t="shared" si="48"/>
        <v>95</v>
      </c>
      <c r="AL96">
        <f t="shared" si="49"/>
        <v>50</v>
      </c>
      <c r="AM96">
        <f t="shared" si="50"/>
        <v>60</v>
      </c>
      <c r="AN96">
        <f t="shared" si="44"/>
        <v>99.990199980399964</v>
      </c>
      <c r="AO96">
        <f t="shared" si="51"/>
        <v>90</v>
      </c>
      <c r="AP96">
        <f t="shared" si="52"/>
        <v>84.439099938805938</v>
      </c>
      <c r="AQ96">
        <f t="shared" si="66"/>
        <v>4</v>
      </c>
      <c r="AR96" t="str">
        <f t="shared" si="53"/>
        <v>OIL-005</v>
      </c>
      <c r="AS96" s="15" t="s">
        <v>413</v>
      </c>
      <c r="AT96" s="15" t="s">
        <v>429</v>
      </c>
      <c r="AU96">
        <f t="shared" si="65"/>
        <v>75.757575757575751</v>
      </c>
      <c r="AV96">
        <f t="shared" si="54"/>
        <v>50</v>
      </c>
      <c r="AW96">
        <f t="shared" si="55"/>
        <v>95</v>
      </c>
      <c r="AX96">
        <f t="shared" si="56"/>
        <v>95</v>
      </c>
      <c r="AY96">
        <f t="shared" si="45"/>
        <v>99.990199980399964</v>
      </c>
      <c r="AZ96">
        <f t="shared" si="57"/>
        <v>60</v>
      </c>
      <c r="BA96">
        <f t="shared" si="58"/>
        <v>76.476782726292726</v>
      </c>
      <c r="BB96">
        <f t="shared" si="67"/>
        <v>6</v>
      </c>
      <c r="BC96" t="str">
        <f t="shared" si="59"/>
        <v>OIL-005</v>
      </c>
    </row>
    <row r="97" spans="2:55" ht="39.6" x14ac:dyDescent="0.3">
      <c r="B97" s="5" t="s">
        <v>29</v>
      </c>
      <c r="C97" s="15" t="s">
        <v>413</v>
      </c>
      <c r="D97" s="5" t="s">
        <v>432</v>
      </c>
      <c r="E97" s="5" t="s">
        <v>433</v>
      </c>
      <c r="F97" s="5" t="s">
        <v>78</v>
      </c>
      <c r="G97" s="5">
        <v>1400</v>
      </c>
      <c r="H97" s="5">
        <v>85</v>
      </c>
      <c r="I97" s="5">
        <v>1000</v>
      </c>
      <c r="J97" s="5">
        <v>85000</v>
      </c>
      <c r="K97" s="5">
        <v>7</v>
      </c>
      <c r="L97" s="5">
        <v>3</v>
      </c>
      <c r="M97" s="5">
        <v>0.8</v>
      </c>
      <c r="N97" s="5">
        <v>88</v>
      </c>
      <c r="O97" s="5">
        <v>90</v>
      </c>
      <c r="P97" s="5" t="s">
        <v>51</v>
      </c>
      <c r="Q97" s="5">
        <v>7</v>
      </c>
      <c r="R97" s="5">
        <v>7.5</v>
      </c>
      <c r="S97" s="5" t="s">
        <v>54</v>
      </c>
      <c r="T97" s="5">
        <v>6.5</v>
      </c>
      <c r="U97" s="5" t="s">
        <v>174</v>
      </c>
      <c r="V97" s="5" t="s">
        <v>54</v>
      </c>
      <c r="W97" s="5">
        <v>3</v>
      </c>
      <c r="X97" s="5" t="s">
        <v>68</v>
      </c>
      <c r="Y97" s="5">
        <v>10</v>
      </c>
      <c r="Z97" s="5">
        <v>6.5</v>
      </c>
      <c r="AA97" s="5" t="s">
        <v>434</v>
      </c>
      <c r="AB97" s="5" t="s">
        <v>416</v>
      </c>
      <c r="AC97" s="6">
        <v>5.0000000000000001E-3</v>
      </c>
      <c r="AD97" s="5"/>
      <c r="AF97" s="15" t="s">
        <v>413</v>
      </c>
      <c r="AG97" s="15" t="s">
        <v>433</v>
      </c>
      <c r="AH97">
        <f t="shared" si="64"/>
        <v>100</v>
      </c>
      <c r="AI97">
        <f t="shared" si="46"/>
        <v>70</v>
      </c>
      <c r="AJ97" s="12">
        <f t="shared" si="47"/>
        <v>84</v>
      </c>
      <c r="AK97">
        <f t="shared" si="48"/>
        <v>88</v>
      </c>
      <c r="AL97">
        <f t="shared" si="49"/>
        <v>65</v>
      </c>
      <c r="AM97">
        <f t="shared" si="50"/>
        <v>0</v>
      </c>
      <c r="AN97">
        <f t="shared" si="44"/>
        <v>99.800199600399196</v>
      </c>
      <c r="AO97">
        <f t="shared" si="51"/>
        <v>65</v>
      </c>
      <c r="AP97">
        <f t="shared" si="52"/>
        <v>79.094005988011972</v>
      </c>
      <c r="AQ97">
        <f t="shared" si="66"/>
        <v>7</v>
      </c>
      <c r="AR97" t="str">
        <f t="shared" si="53"/>
        <v>OIL-006</v>
      </c>
      <c r="AS97" s="15" t="s">
        <v>413</v>
      </c>
      <c r="AT97" s="15" t="s">
        <v>433</v>
      </c>
      <c r="AU97">
        <f t="shared" si="65"/>
        <v>100</v>
      </c>
      <c r="AV97">
        <f t="shared" si="54"/>
        <v>65</v>
      </c>
      <c r="AW97">
        <f t="shared" si="55"/>
        <v>88</v>
      </c>
      <c r="AX97">
        <f t="shared" si="56"/>
        <v>70</v>
      </c>
      <c r="AY97">
        <f t="shared" si="45"/>
        <v>99.800199600399196</v>
      </c>
      <c r="AZ97">
        <f t="shared" si="57"/>
        <v>0</v>
      </c>
      <c r="BA97">
        <f t="shared" si="58"/>
        <v>79.340009980019957</v>
      </c>
      <c r="BB97">
        <f t="shared" si="67"/>
        <v>5</v>
      </c>
      <c r="BC97" t="str">
        <f t="shared" si="59"/>
        <v>OIL-006</v>
      </c>
    </row>
    <row r="98" spans="2:55" ht="39.6" x14ac:dyDescent="0.3">
      <c r="B98" s="5" t="s">
        <v>29</v>
      </c>
      <c r="C98" s="15" t="s">
        <v>413</v>
      </c>
      <c r="D98" s="5" t="s">
        <v>435</v>
      </c>
      <c r="E98" s="5" t="s">
        <v>436</v>
      </c>
      <c r="F98" s="5" t="s">
        <v>50</v>
      </c>
      <c r="G98" s="5">
        <v>150</v>
      </c>
      <c r="H98" s="5">
        <v>250</v>
      </c>
      <c r="I98" s="5">
        <v>100</v>
      </c>
      <c r="J98" s="5">
        <v>25000</v>
      </c>
      <c r="K98" s="5">
        <v>30</v>
      </c>
      <c r="L98" s="5">
        <v>15</v>
      </c>
      <c r="M98" s="5">
        <v>0.05</v>
      </c>
      <c r="N98" s="5">
        <v>92</v>
      </c>
      <c r="O98" s="5" t="s">
        <v>154</v>
      </c>
      <c r="P98" s="5" t="s">
        <v>60</v>
      </c>
      <c r="Q98" s="5">
        <v>9.8000000000000007</v>
      </c>
      <c r="R98" s="5">
        <v>8.1999999999999993</v>
      </c>
      <c r="S98" s="5" t="s">
        <v>437</v>
      </c>
      <c r="T98" s="5">
        <v>9.8000000000000007</v>
      </c>
      <c r="U98" s="5" t="s">
        <v>36</v>
      </c>
      <c r="V98" s="5" t="s">
        <v>37</v>
      </c>
      <c r="W98" s="5">
        <v>1</v>
      </c>
      <c r="X98" s="5" t="s">
        <v>38</v>
      </c>
      <c r="Y98" s="5">
        <v>90</v>
      </c>
      <c r="Z98" s="5">
        <v>8</v>
      </c>
      <c r="AA98" s="5" t="s">
        <v>438</v>
      </c>
      <c r="AB98" s="5" t="s">
        <v>437</v>
      </c>
      <c r="AC98" s="6">
        <v>1E-3</v>
      </c>
      <c r="AD98" s="5"/>
      <c r="AF98" s="15" t="s">
        <v>413</v>
      </c>
      <c r="AG98" s="15" t="s">
        <v>436</v>
      </c>
      <c r="AH98">
        <f t="shared" si="64"/>
        <v>0</v>
      </c>
      <c r="AI98">
        <f t="shared" si="46"/>
        <v>98</v>
      </c>
      <c r="AJ98" s="12">
        <f t="shared" si="47"/>
        <v>99</v>
      </c>
      <c r="AK98">
        <f t="shared" si="48"/>
        <v>92</v>
      </c>
      <c r="AL98">
        <f t="shared" si="49"/>
        <v>0</v>
      </c>
      <c r="AM98">
        <f t="shared" si="50"/>
        <v>70</v>
      </c>
      <c r="AN98">
        <f t="shared" si="44"/>
        <v>99.980199960399915</v>
      </c>
      <c r="AO98">
        <f t="shared" si="51"/>
        <v>80</v>
      </c>
      <c r="AP98">
        <f t="shared" si="52"/>
        <v>61.249405998811994</v>
      </c>
      <c r="AQ98">
        <f t="shared" si="66"/>
        <v>10</v>
      </c>
      <c r="AR98" t="str">
        <f t="shared" si="53"/>
        <v>OIL-007</v>
      </c>
      <c r="AS98" s="15" t="s">
        <v>413</v>
      </c>
      <c r="AT98" s="15" t="s">
        <v>436</v>
      </c>
      <c r="AU98">
        <f t="shared" si="65"/>
        <v>0</v>
      </c>
      <c r="AV98">
        <f t="shared" si="54"/>
        <v>0</v>
      </c>
      <c r="AW98">
        <f t="shared" si="55"/>
        <v>92</v>
      </c>
      <c r="AX98">
        <f t="shared" si="56"/>
        <v>98</v>
      </c>
      <c r="AY98">
        <f t="shared" si="45"/>
        <v>99.980199960399915</v>
      </c>
      <c r="AZ98">
        <f t="shared" si="57"/>
        <v>70</v>
      </c>
      <c r="BA98">
        <f t="shared" si="58"/>
        <v>41.599009998019994</v>
      </c>
      <c r="BB98">
        <f t="shared" si="67"/>
        <v>10</v>
      </c>
      <c r="BC98" t="str">
        <f t="shared" si="59"/>
        <v>OIL-007</v>
      </c>
    </row>
    <row r="99" spans="2:55" ht="39.6" x14ac:dyDescent="0.3">
      <c r="B99" s="5" t="s">
        <v>29</v>
      </c>
      <c r="C99" s="15" t="s">
        <v>413</v>
      </c>
      <c r="D99" s="5" t="s">
        <v>439</v>
      </c>
      <c r="E99" s="5" t="s">
        <v>440</v>
      </c>
      <c r="F99" s="5" t="s">
        <v>33</v>
      </c>
      <c r="G99" s="5">
        <v>65</v>
      </c>
      <c r="H99" s="5">
        <v>95</v>
      </c>
      <c r="I99" s="5">
        <v>200</v>
      </c>
      <c r="J99" s="5">
        <v>19000</v>
      </c>
      <c r="K99" s="5">
        <v>5</v>
      </c>
      <c r="L99" s="5">
        <v>2</v>
      </c>
      <c r="M99" s="5">
        <v>0.4</v>
      </c>
      <c r="N99" s="5">
        <v>96</v>
      </c>
      <c r="O99" s="5">
        <v>45</v>
      </c>
      <c r="P99" s="5" t="s">
        <v>85</v>
      </c>
      <c r="Q99" s="5">
        <v>8.3000000000000007</v>
      </c>
      <c r="R99" s="5">
        <v>9.3000000000000007</v>
      </c>
      <c r="S99" s="5" t="s">
        <v>67</v>
      </c>
      <c r="T99" s="5">
        <v>8.3000000000000007</v>
      </c>
      <c r="U99" s="5" t="s">
        <v>53</v>
      </c>
      <c r="V99" s="5" t="s">
        <v>54</v>
      </c>
      <c r="W99" s="5">
        <v>2</v>
      </c>
      <c r="X99" s="5" t="s">
        <v>38</v>
      </c>
      <c r="Y99" s="5">
        <v>25</v>
      </c>
      <c r="Z99" s="5">
        <v>8.5</v>
      </c>
      <c r="AA99" s="5" t="s">
        <v>441</v>
      </c>
      <c r="AB99" s="5" t="s">
        <v>416</v>
      </c>
      <c r="AC99" s="6">
        <v>3.0000000000000001E-3</v>
      </c>
      <c r="AD99" s="5"/>
      <c r="AF99" s="15" t="s">
        <v>413</v>
      </c>
      <c r="AG99" s="15" t="s">
        <v>440</v>
      </c>
      <c r="AH99">
        <f t="shared" si="64"/>
        <v>93.939393939393938</v>
      </c>
      <c r="AI99">
        <f t="shared" si="46"/>
        <v>83</v>
      </c>
      <c r="AJ99" s="12">
        <f t="shared" si="47"/>
        <v>92</v>
      </c>
      <c r="AK99">
        <f t="shared" si="48"/>
        <v>96</v>
      </c>
      <c r="AL99">
        <f t="shared" si="49"/>
        <v>75</v>
      </c>
      <c r="AM99">
        <f t="shared" si="50"/>
        <v>87</v>
      </c>
      <c r="AN99">
        <f t="shared" si="44"/>
        <v>99.960199920399845</v>
      </c>
      <c r="AO99">
        <f t="shared" si="51"/>
        <v>85</v>
      </c>
      <c r="AP99">
        <f t="shared" si="52"/>
        <v>88.98365448246048</v>
      </c>
      <c r="AQ99">
        <f t="shared" si="66"/>
        <v>1</v>
      </c>
      <c r="AR99" t="str">
        <f t="shared" si="53"/>
        <v>OIL-008</v>
      </c>
      <c r="AS99" s="15" t="s">
        <v>413</v>
      </c>
      <c r="AT99" s="15" t="s">
        <v>440</v>
      </c>
      <c r="AU99">
        <f t="shared" si="65"/>
        <v>93.939393939393938</v>
      </c>
      <c r="AV99">
        <f t="shared" si="54"/>
        <v>75</v>
      </c>
      <c r="AW99">
        <f t="shared" si="55"/>
        <v>96</v>
      </c>
      <c r="AX99">
        <f t="shared" si="56"/>
        <v>83</v>
      </c>
      <c r="AY99">
        <f t="shared" si="45"/>
        <v>99.960199920399845</v>
      </c>
      <c r="AZ99">
        <f t="shared" si="57"/>
        <v>87</v>
      </c>
      <c r="BA99">
        <f t="shared" si="58"/>
        <v>87.929828177838161</v>
      </c>
      <c r="BB99">
        <f t="shared" si="67"/>
        <v>1</v>
      </c>
      <c r="BC99" t="str">
        <f t="shared" si="59"/>
        <v>OIL-008</v>
      </c>
    </row>
    <row r="100" spans="2:55" ht="52.8" x14ac:dyDescent="0.3">
      <c r="B100" s="5" t="s">
        <v>29</v>
      </c>
      <c r="C100" s="15" t="s">
        <v>413</v>
      </c>
      <c r="D100" s="5" t="s">
        <v>442</v>
      </c>
      <c r="E100" s="5" t="s">
        <v>443</v>
      </c>
      <c r="F100" s="5" t="s">
        <v>72</v>
      </c>
      <c r="G100" s="5">
        <v>15</v>
      </c>
      <c r="H100" s="5">
        <v>180</v>
      </c>
      <c r="I100" s="5">
        <v>50</v>
      </c>
      <c r="J100" s="5">
        <v>9000</v>
      </c>
      <c r="K100" s="5">
        <v>7</v>
      </c>
      <c r="L100" s="5">
        <v>3</v>
      </c>
      <c r="M100" s="5">
        <v>0.2</v>
      </c>
      <c r="N100" s="5">
        <v>97</v>
      </c>
      <c r="O100" s="5">
        <v>30</v>
      </c>
      <c r="P100" s="5" t="s">
        <v>118</v>
      </c>
      <c r="Q100" s="5">
        <v>8.6999999999999993</v>
      </c>
      <c r="R100" s="5">
        <v>9.1</v>
      </c>
      <c r="S100" s="5" t="s">
        <v>62</v>
      </c>
      <c r="T100" s="5">
        <v>8.6999999999999993</v>
      </c>
      <c r="U100" s="5" t="s">
        <v>53</v>
      </c>
      <c r="V100" s="5" t="s">
        <v>54</v>
      </c>
      <c r="W100" s="5">
        <v>1</v>
      </c>
      <c r="X100" s="5" t="s">
        <v>38</v>
      </c>
      <c r="Y100" s="5">
        <v>20</v>
      </c>
      <c r="Z100" s="5">
        <v>8.6999999999999993</v>
      </c>
      <c r="AA100" s="5" t="s">
        <v>444</v>
      </c>
      <c r="AB100" s="5" t="s">
        <v>419</v>
      </c>
      <c r="AC100" s="6">
        <v>2E-3</v>
      </c>
      <c r="AD100" s="5"/>
      <c r="AF100" s="15" t="s">
        <v>413</v>
      </c>
      <c r="AG100" s="15" t="s">
        <v>443</v>
      </c>
      <c r="AH100">
        <f t="shared" si="64"/>
        <v>42.424242424242422</v>
      </c>
      <c r="AI100">
        <f t="shared" si="46"/>
        <v>87</v>
      </c>
      <c r="AJ100" s="12">
        <f t="shared" si="47"/>
        <v>96</v>
      </c>
      <c r="AK100">
        <f t="shared" si="48"/>
        <v>97</v>
      </c>
      <c r="AL100">
        <f t="shared" si="49"/>
        <v>65</v>
      </c>
      <c r="AM100">
        <f t="shared" si="50"/>
        <v>97</v>
      </c>
      <c r="AN100">
        <f t="shared" si="44"/>
        <v>99.990199980399964</v>
      </c>
      <c r="AO100">
        <f t="shared" si="51"/>
        <v>87</v>
      </c>
      <c r="AP100">
        <f t="shared" si="52"/>
        <v>77.395766605472602</v>
      </c>
      <c r="AQ100">
        <f t="shared" si="66"/>
        <v>8</v>
      </c>
      <c r="AR100" t="str">
        <f t="shared" si="53"/>
        <v>OIL-009</v>
      </c>
      <c r="AS100" s="15" t="s">
        <v>413</v>
      </c>
      <c r="AT100" s="15" t="s">
        <v>443</v>
      </c>
      <c r="AU100">
        <f t="shared" si="65"/>
        <v>42.424242424242422</v>
      </c>
      <c r="AV100">
        <f t="shared" si="54"/>
        <v>65</v>
      </c>
      <c r="AW100">
        <f t="shared" si="55"/>
        <v>97</v>
      </c>
      <c r="AX100">
        <f t="shared" si="56"/>
        <v>87</v>
      </c>
      <c r="AY100">
        <f t="shared" si="45"/>
        <v>99.990199980399964</v>
      </c>
      <c r="AZ100">
        <f t="shared" si="57"/>
        <v>97</v>
      </c>
      <c r="BA100">
        <f t="shared" si="58"/>
        <v>71.276782726292709</v>
      </c>
      <c r="BB100">
        <f t="shared" si="67"/>
        <v>8</v>
      </c>
      <c r="BC100" t="str">
        <f t="shared" si="59"/>
        <v>OIL-009</v>
      </c>
    </row>
    <row r="101" spans="2:55" ht="39.6" x14ac:dyDescent="0.3">
      <c r="B101" s="5" t="s">
        <v>29</v>
      </c>
      <c r="C101" s="15" t="s">
        <v>413</v>
      </c>
      <c r="D101" s="5" t="s">
        <v>445</v>
      </c>
      <c r="E101" s="5" t="s">
        <v>446</v>
      </c>
      <c r="F101" s="5" t="s">
        <v>84</v>
      </c>
      <c r="G101" s="5">
        <v>150</v>
      </c>
      <c r="H101" s="5">
        <v>92</v>
      </c>
      <c r="I101" s="5">
        <v>300</v>
      </c>
      <c r="J101" s="5">
        <v>27600</v>
      </c>
      <c r="K101" s="5">
        <v>10</v>
      </c>
      <c r="L101" s="5">
        <v>5</v>
      </c>
      <c r="M101" s="5">
        <v>0.6</v>
      </c>
      <c r="N101" s="5">
        <v>93</v>
      </c>
      <c r="O101" s="5">
        <v>60</v>
      </c>
      <c r="P101" s="5" t="s">
        <v>44</v>
      </c>
      <c r="Q101" s="5">
        <v>7.8</v>
      </c>
      <c r="R101" s="5">
        <v>8.5</v>
      </c>
      <c r="S101" s="5" t="s">
        <v>67</v>
      </c>
      <c r="T101" s="5">
        <v>7.5</v>
      </c>
      <c r="U101" s="5" t="s">
        <v>81</v>
      </c>
      <c r="V101" s="5" t="s">
        <v>37</v>
      </c>
      <c r="W101" s="5">
        <v>2</v>
      </c>
      <c r="X101" s="5" t="s">
        <v>38</v>
      </c>
      <c r="Y101" s="5">
        <v>35</v>
      </c>
      <c r="Z101" s="5">
        <v>7.8</v>
      </c>
      <c r="AA101" s="5" t="s">
        <v>364</v>
      </c>
      <c r="AB101" s="5" t="s">
        <v>416</v>
      </c>
      <c r="AC101" s="6">
        <v>4.0000000000000001E-3</v>
      </c>
      <c r="AD101" s="5"/>
      <c r="AF101" s="15" t="s">
        <v>413</v>
      </c>
      <c r="AG101" s="15" t="s">
        <v>446</v>
      </c>
      <c r="AH101">
        <f t="shared" si="64"/>
        <v>95.757575757575751</v>
      </c>
      <c r="AI101">
        <f t="shared" si="46"/>
        <v>78</v>
      </c>
      <c r="AJ101" s="12">
        <f t="shared" si="47"/>
        <v>88</v>
      </c>
      <c r="AK101">
        <f t="shared" si="48"/>
        <v>93</v>
      </c>
      <c r="AL101">
        <f t="shared" si="49"/>
        <v>50</v>
      </c>
      <c r="AM101">
        <f t="shared" si="50"/>
        <v>70</v>
      </c>
      <c r="AN101">
        <f t="shared" si="44"/>
        <v>99.94019988039976</v>
      </c>
      <c r="AO101">
        <f t="shared" si="51"/>
        <v>78</v>
      </c>
      <c r="AP101">
        <f t="shared" si="52"/>
        <v>83.647599935805943</v>
      </c>
      <c r="AQ101">
        <f t="shared" si="66"/>
        <v>6</v>
      </c>
      <c r="AR101" t="str">
        <f t="shared" si="53"/>
        <v>OIL-010</v>
      </c>
      <c r="AS101" s="15" t="s">
        <v>413</v>
      </c>
      <c r="AT101" s="15" t="s">
        <v>446</v>
      </c>
      <c r="AU101">
        <f t="shared" si="65"/>
        <v>95.757575757575751</v>
      </c>
      <c r="AV101">
        <f t="shared" si="54"/>
        <v>50</v>
      </c>
      <c r="AW101">
        <f t="shared" si="55"/>
        <v>93</v>
      </c>
      <c r="AX101">
        <f t="shared" si="56"/>
        <v>78</v>
      </c>
      <c r="AY101">
        <f t="shared" si="45"/>
        <v>99.94019988039976</v>
      </c>
      <c r="AZ101">
        <f t="shared" si="57"/>
        <v>70</v>
      </c>
      <c r="BA101">
        <f t="shared" si="58"/>
        <v>80.024282721292707</v>
      </c>
      <c r="BB101">
        <f t="shared" si="67"/>
        <v>3</v>
      </c>
      <c r="BC101" t="str">
        <f t="shared" si="59"/>
        <v>OIL-010</v>
      </c>
    </row>
    <row r="102" spans="2:55" ht="39.6" x14ac:dyDescent="0.3">
      <c r="B102" s="5" t="s">
        <v>29</v>
      </c>
      <c r="C102" s="15" t="s">
        <v>447</v>
      </c>
      <c r="D102" s="5" t="s">
        <v>448</v>
      </c>
      <c r="E102" s="5" t="s">
        <v>449</v>
      </c>
      <c r="F102" s="5" t="s">
        <v>72</v>
      </c>
      <c r="G102" s="5">
        <v>10</v>
      </c>
      <c r="H102" s="5">
        <v>42</v>
      </c>
      <c r="I102" s="5">
        <v>500</v>
      </c>
      <c r="J102" s="5">
        <v>21000</v>
      </c>
      <c r="K102" s="5">
        <v>2</v>
      </c>
      <c r="L102" s="5">
        <v>1</v>
      </c>
      <c r="M102" s="5">
        <v>0.3</v>
      </c>
      <c r="N102" s="5">
        <v>98</v>
      </c>
      <c r="O102" s="5">
        <v>30</v>
      </c>
      <c r="P102" s="5" t="s">
        <v>94</v>
      </c>
      <c r="Q102" s="5">
        <v>8.5</v>
      </c>
      <c r="R102" s="5">
        <v>9.5</v>
      </c>
      <c r="S102" s="5" t="s">
        <v>67</v>
      </c>
      <c r="T102" s="5">
        <v>7.8</v>
      </c>
      <c r="U102" s="5" t="s">
        <v>53</v>
      </c>
      <c r="V102" s="5" t="s">
        <v>54</v>
      </c>
      <c r="W102" s="5">
        <v>1</v>
      </c>
      <c r="X102" s="5" t="s">
        <v>38</v>
      </c>
      <c r="Y102" s="5">
        <v>15</v>
      </c>
      <c r="Z102" s="5">
        <v>9</v>
      </c>
      <c r="AA102" s="5" t="s">
        <v>331</v>
      </c>
      <c r="AB102" s="5" t="s">
        <v>450</v>
      </c>
      <c r="AC102" s="6">
        <v>4.0000000000000002E-4</v>
      </c>
      <c r="AD102" s="5"/>
      <c r="AF102" s="15" t="s">
        <v>447</v>
      </c>
      <c r="AG102" s="15" t="s">
        <v>449</v>
      </c>
      <c r="AH102">
        <f t="shared" ref="AH102:AH111" si="68">100-((H102-MIN($H$102:$H$111))/(MAX($H$102:$H$111)-MIN($H$102:$H$111))*100)</f>
        <v>91.764705882352942</v>
      </c>
      <c r="AI102">
        <f t="shared" si="46"/>
        <v>85</v>
      </c>
      <c r="AJ102" s="12">
        <f t="shared" si="47"/>
        <v>94</v>
      </c>
      <c r="AK102">
        <f t="shared" si="48"/>
        <v>98</v>
      </c>
      <c r="AL102">
        <f t="shared" si="49"/>
        <v>90</v>
      </c>
      <c r="AM102">
        <f t="shared" si="50"/>
        <v>98</v>
      </c>
      <c r="AN102">
        <f t="shared" si="44"/>
        <v>99.900199800399605</v>
      </c>
      <c r="AO102">
        <f t="shared" si="51"/>
        <v>90</v>
      </c>
      <c r="AP102">
        <f t="shared" si="52"/>
        <v>91.688182464600217</v>
      </c>
      <c r="AQ102">
        <f>RANK(AP102, $AP$102:$AP$111, 0)</f>
        <v>2</v>
      </c>
      <c r="AR102" t="str">
        <f t="shared" si="53"/>
        <v>SUGAR-001</v>
      </c>
      <c r="AS102" s="15" t="s">
        <v>447</v>
      </c>
      <c r="AT102" s="15" t="s">
        <v>449</v>
      </c>
      <c r="AU102">
        <f t="shared" ref="AU102:AU111" si="69">100-((H102-MIN($H$102:$H$111))/(MAX($H$102:$H$111)-MIN($H$102:$H$111))*100)</f>
        <v>91.764705882352942</v>
      </c>
      <c r="AV102">
        <f t="shared" si="54"/>
        <v>90</v>
      </c>
      <c r="AW102">
        <f t="shared" si="55"/>
        <v>98</v>
      </c>
      <c r="AX102">
        <f t="shared" si="56"/>
        <v>85</v>
      </c>
      <c r="AY102">
        <f t="shared" si="45"/>
        <v>99.900199800399605</v>
      </c>
      <c r="AZ102">
        <f t="shared" si="57"/>
        <v>98</v>
      </c>
      <c r="BA102">
        <f t="shared" si="58"/>
        <v>92.274421754725864</v>
      </c>
      <c r="BB102">
        <f>RANK(BA102, $BA$102:$BA$111, 0)</f>
        <v>2</v>
      </c>
      <c r="BC102" t="str">
        <f t="shared" si="59"/>
        <v>SUGAR-001</v>
      </c>
    </row>
    <row r="103" spans="2:55" ht="39.6" x14ac:dyDescent="0.3">
      <c r="B103" s="5" t="s">
        <v>29</v>
      </c>
      <c r="C103" s="15" t="s">
        <v>447</v>
      </c>
      <c r="D103" s="5" t="s">
        <v>451</v>
      </c>
      <c r="E103" s="5" t="s">
        <v>452</v>
      </c>
      <c r="F103" s="5" t="s">
        <v>33</v>
      </c>
      <c r="G103" s="5">
        <v>65</v>
      </c>
      <c r="H103" s="5">
        <v>40</v>
      </c>
      <c r="I103" s="5">
        <v>1000</v>
      </c>
      <c r="J103" s="5">
        <v>40000</v>
      </c>
      <c r="K103" s="5">
        <v>3</v>
      </c>
      <c r="L103" s="5">
        <v>1</v>
      </c>
      <c r="M103" s="5">
        <v>0.5</v>
      </c>
      <c r="N103" s="5">
        <v>96</v>
      </c>
      <c r="O103" s="5">
        <v>45</v>
      </c>
      <c r="P103" s="5" t="s">
        <v>51</v>
      </c>
      <c r="Q103" s="5">
        <v>8</v>
      </c>
      <c r="R103" s="5">
        <v>9.1999999999999993</v>
      </c>
      <c r="S103" s="5" t="s">
        <v>74</v>
      </c>
      <c r="T103" s="5">
        <v>8.1999999999999993</v>
      </c>
      <c r="U103" s="5" t="s">
        <v>36</v>
      </c>
      <c r="V103" s="5" t="s">
        <v>46</v>
      </c>
      <c r="W103" s="5">
        <v>2</v>
      </c>
      <c r="X103" s="5" t="s">
        <v>38</v>
      </c>
      <c r="Y103" s="5">
        <v>20</v>
      </c>
      <c r="Z103" s="5">
        <v>8.5</v>
      </c>
      <c r="AA103" s="5" t="s">
        <v>453</v>
      </c>
      <c r="AB103" s="5" t="s">
        <v>454</v>
      </c>
      <c r="AC103" s="6">
        <v>5.0000000000000001E-4</v>
      </c>
      <c r="AD103" s="5"/>
      <c r="AF103" s="15" t="s">
        <v>447</v>
      </c>
      <c r="AG103" s="15" t="s">
        <v>452</v>
      </c>
      <c r="AH103">
        <f t="shared" si="68"/>
        <v>94.117647058823536</v>
      </c>
      <c r="AI103">
        <f t="shared" si="46"/>
        <v>80</v>
      </c>
      <c r="AJ103" s="12">
        <f t="shared" si="47"/>
        <v>90</v>
      </c>
      <c r="AK103">
        <f t="shared" si="48"/>
        <v>96</v>
      </c>
      <c r="AL103">
        <f t="shared" si="49"/>
        <v>85</v>
      </c>
      <c r="AM103">
        <f t="shared" si="50"/>
        <v>87</v>
      </c>
      <c r="AN103">
        <f t="shared" si="44"/>
        <v>99.800199600399196</v>
      </c>
      <c r="AO103">
        <f t="shared" si="51"/>
        <v>85</v>
      </c>
      <c r="AP103">
        <f t="shared" si="52"/>
        <v>88.973417752717864</v>
      </c>
      <c r="AQ103">
        <f t="shared" ref="AQ103:AQ111" si="70">RANK(AP103, $AP$102:$AP$111, 0)</f>
        <v>3</v>
      </c>
      <c r="AR103" t="str">
        <f t="shared" si="53"/>
        <v>SUGAR-002</v>
      </c>
      <c r="AS103" s="15" t="s">
        <v>447</v>
      </c>
      <c r="AT103" s="15" t="s">
        <v>452</v>
      </c>
      <c r="AU103">
        <f t="shared" si="69"/>
        <v>94.117647058823536</v>
      </c>
      <c r="AV103">
        <f t="shared" si="54"/>
        <v>85</v>
      </c>
      <c r="AW103">
        <f t="shared" si="55"/>
        <v>96</v>
      </c>
      <c r="AX103">
        <f t="shared" si="56"/>
        <v>80</v>
      </c>
      <c r="AY103">
        <f t="shared" si="45"/>
        <v>99.800199600399196</v>
      </c>
      <c r="AZ103">
        <f t="shared" si="57"/>
        <v>87</v>
      </c>
      <c r="BA103">
        <f t="shared" si="58"/>
        <v>90.025304097667018</v>
      </c>
      <c r="BB103">
        <f t="shared" ref="BB103:BB111" si="71">RANK(BA103, $BA$102:$BA$111, 0)</f>
        <v>3</v>
      </c>
      <c r="BC103" t="str">
        <f t="shared" si="59"/>
        <v>SUGAR-002</v>
      </c>
    </row>
    <row r="104" spans="2:55" ht="39.6" x14ac:dyDescent="0.3">
      <c r="B104" s="5" t="s">
        <v>29</v>
      </c>
      <c r="C104" s="15" t="s">
        <v>447</v>
      </c>
      <c r="D104" s="5" t="s">
        <v>455</v>
      </c>
      <c r="E104" s="5" t="s">
        <v>456</v>
      </c>
      <c r="F104" s="5" t="s">
        <v>50</v>
      </c>
      <c r="G104" s="5">
        <v>150</v>
      </c>
      <c r="H104" s="5">
        <v>38</v>
      </c>
      <c r="I104" s="5">
        <v>2000</v>
      </c>
      <c r="J104" s="5">
        <v>76000</v>
      </c>
      <c r="K104" s="5">
        <v>7</v>
      </c>
      <c r="L104" s="5">
        <v>3</v>
      </c>
      <c r="M104" s="5">
        <v>0.8</v>
      </c>
      <c r="N104" s="5">
        <v>94</v>
      </c>
      <c r="O104" s="5">
        <v>60</v>
      </c>
      <c r="P104" s="5" t="s">
        <v>386</v>
      </c>
      <c r="Q104" s="5">
        <v>7.8</v>
      </c>
      <c r="R104" s="5">
        <v>8.5</v>
      </c>
      <c r="S104" s="5" t="s">
        <v>52</v>
      </c>
      <c r="T104" s="5">
        <v>7</v>
      </c>
      <c r="U104" s="5" t="s">
        <v>81</v>
      </c>
      <c r="V104" s="5" t="s">
        <v>37</v>
      </c>
      <c r="W104" s="5">
        <v>3</v>
      </c>
      <c r="X104" s="5" t="s">
        <v>38</v>
      </c>
      <c r="Y104" s="5">
        <v>30</v>
      </c>
      <c r="Z104" s="5">
        <v>7.5</v>
      </c>
      <c r="AA104" s="5" t="s">
        <v>457</v>
      </c>
      <c r="AB104" s="5" t="s">
        <v>458</v>
      </c>
      <c r="AC104" s="6">
        <v>6.9999999999999999E-4</v>
      </c>
      <c r="AD104" s="5"/>
      <c r="AF104" s="15" t="s">
        <v>447</v>
      </c>
      <c r="AG104" s="15" t="s">
        <v>456</v>
      </c>
      <c r="AH104">
        <f t="shared" si="68"/>
        <v>96.470588235294116</v>
      </c>
      <c r="AI104">
        <f t="shared" si="46"/>
        <v>78</v>
      </c>
      <c r="AJ104" s="12">
        <f t="shared" si="47"/>
        <v>84</v>
      </c>
      <c r="AK104">
        <f t="shared" si="48"/>
        <v>94</v>
      </c>
      <c r="AL104">
        <f t="shared" si="49"/>
        <v>65</v>
      </c>
      <c r="AM104">
        <f t="shared" si="50"/>
        <v>70</v>
      </c>
      <c r="AN104">
        <f t="shared" si="44"/>
        <v>99.600199200398407</v>
      </c>
      <c r="AO104">
        <f t="shared" si="51"/>
        <v>75</v>
      </c>
      <c r="AP104">
        <f t="shared" si="52"/>
        <v>84.805653034835473</v>
      </c>
      <c r="AQ104">
        <f t="shared" si="70"/>
        <v>6</v>
      </c>
      <c r="AR104" t="str">
        <f t="shared" si="53"/>
        <v>SUGAR-003</v>
      </c>
      <c r="AS104" s="15" t="s">
        <v>447</v>
      </c>
      <c r="AT104" s="15" t="s">
        <v>456</v>
      </c>
      <c r="AU104">
        <f t="shared" si="69"/>
        <v>96.470588235294116</v>
      </c>
      <c r="AV104">
        <f t="shared" si="54"/>
        <v>65</v>
      </c>
      <c r="AW104">
        <f t="shared" si="55"/>
        <v>94</v>
      </c>
      <c r="AX104">
        <f t="shared" si="56"/>
        <v>78</v>
      </c>
      <c r="AY104">
        <f t="shared" si="45"/>
        <v>99.600199200398407</v>
      </c>
      <c r="AZ104">
        <f t="shared" si="57"/>
        <v>70</v>
      </c>
      <c r="BA104">
        <f t="shared" si="58"/>
        <v>84.171186430608145</v>
      </c>
      <c r="BB104">
        <f t="shared" si="71"/>
        <v>5</v>
      </c>
      <c r="BC104" t="str">
        <f t="shared" si="59"/>
        <v>SUGAR-003</v>
      </c>
    </row>
    <row r="105" spans="2:55" ht="39.6" x14ac:dyDescent="0.3">
      <c r="B105" s="5" t="s">
        <v>29</v>
      </c>
      <c r="C105" s="15" t="s">
        <v>447</v>
      </c>
      <c r="D105" s="5" t="s">
        <v>459</v>
      </c>
      <c r="E105" s="5" t="s">
        <v>460</v>
      </c>
      <c r="F105" s="5" t="s">
        <v>178</v>
      </c>
      <c r="G105" s="5">
        <v>110</v>
      </c>
      <c r="H105" s="5">
        <v>55</v>
      </c>
      <c r="I105" s="5">
        <v>200</v>
      </c>
      <c r="J105" s="5">
        <v>11000</v>
      </c>
      <c r="K105" s="5">
        <v>5</v>
      </c>
      <c r="L105" s="5">
        <v>2</v>
      </c>
      <c r="M105" s="5">
        <v>0.2</v>
      </c>
      <c r="N105" s="5">
        <v>95</v>
      </c>
      <c r="O105" s="5">
        <v>30</v>
      </c>
      <c r="P105" s="5" t="s">
        <v>34</v>
      </c>
      <c r="Q105" s="5">
        <v>9.1999999999999993</v>
      </c>
      <c r="R105" s="5">
        <v>8.8000000000000007</v>
      </c>
      <c r="S105" s="5" t="s">
        <v>62</v>
      </c>
      <c r="T105" s="5">
        <v>9.5</v>
      </c>
      <c r="U105" s="5" t="s">
        <v>53</v>
      </c>
      <c r="V105" s="5" t="s">
        <v>54</v>
      </c>
      <c r="W105" s="5">
        <v>2</v>
      </c>
      <c r="X105" s="5" t="s">
        <v>38</v>
      </c>
      <c r="Y105" s="5">
        <v>10</v>
      </c>
      <c r="Z105" s="5">
        <v>8.8000000000000007</v>
      </c>
      <c r="AA105" s="5" t="s">
        <v>453</v>
      </c>
      <c r="AB105" s="5" t="s">
        <v>461</v>
      </c>
      <c r="AC105" s="6">
        <v>2.9999999999999997E-4</v>
      </c>
      <c r="AD105" s="5"/>
      <c r="AF105" s="15" t="s">
        <v>447</v>
      </c>
      <c r="AG105" s="15" t="s">
        <v>460</v>
      </c>
      <c r="AH105">
        <f t="shared" si="68"/>
        <v>76.470588235294116</v>
      </c>
      <c r="AI105">
        <f t="shared" si="46"/>
        <v>92</v>
      </c>
      <c r="AJ105" s="12">
        <f t="shared" si="47"/>
        <v>96</v>
      </c>
      <c r="AK105">
        <f t="shared" si="48"/>
        <v>95</v>
      </c>
      <c r="AL105">
        <f t="shared" si="49"/>
        <v>75</v>
      </c>
      <c r="AM105">
        <f t="shared" si="50"/>
        <v>78</v>
      </c>
      <c r="AN105">
        <f t="shared" si="44"/>
        <v>99.960199920399845</v>
      </c>
      <c r="AO105">
        <f t="shared" si="51"/>
        <v>88</v>
      </c>
      <c r="AP105">
        <f t="shared" si="52"/>
        <v>86.926453056435534</v>
      </c>
      <c r="AQ105">
        <f t="shared" si="70"/>
        <v>5</v>
      </c>
      <c r="AR105" t="str">
        <f t="shared" si="53"/>
        <v>SUGAR-004</v>
      </c>
      <c r="AS105" s="15" t="s">
        <v>447</v>
      </c>
      <c r="AT105" s="15" t="s">
        <v>460</v>
      </c>
      <c r="AU105">
        <f t="shared" si="69"/>
        <v>76.470588235294116</v>
      </c>
      <c r="AV105">
        <f t="shared" si="54"/>
        <v>75</v>
      </c>
      <c r="AW105">
        <f t="shared" si="55"/>
        <v>95</v>
      </c>
      <c r="AX105">
        <f t="shared" si="56"/>
        <v>92</v>
      </c>
      <c r="AY105">
        <f t="shared" si="45"/>
        <v>99.960199920399845</v>
      </c>
      <c r="AZ105">
        <f t="shared" si="57"/>
        <v>78</v>
      </c>
      <c r="BA105">
        <f t="shared" si="58"/>
        <v>83.389186466608223</v>
      </c>
      <c r="BB105">
        <f t="shared" si="71"/>
        <v>6</v>
      </c>
      <c r="BC105" t="str">
        <f t="shared" si="59"/>
        <v>SUGAR-004</v>
      </c>
    </row>
    <row r="106" spans="2:55" ht="39.6" x14ac:dyDescent="0.3">
      <c r="B106" s="5" t="s">
        <v>29</v>
      </c>
      <c r="C106" s="15" t="s">
        <v>447</v>
      </c>
      <c r="D106" s="5" t="s">
        <v>462</v>
      </c>
      <c r="E106" s="5" t="s">
        <v>463</v>
      </c>
      <c r="F106" s="5" t="s">
        <v>84</v>
      </c>
      <c r="G106" s="5">
        <v>150</v>
      </c>
      <c r="H106" s="5">
        <v>48</v>
      </c>
      <c r="I106" s="5">
        <v>300</v>
      </c>
      <c r="J106" s="5">
        <v>14400</v>
      </c>
      <c r="K106" s="5">
        <v>3</v>
      </c>
      <c r="L106" s="5">
        <v>1</v>
      </c>
      <c r="M106" s="5">
        <v>0.4</v>
      </c>
      <c r="N106" s="5">
        <v>96</v>
      </c>
      <c r="O106" s="5">
        <v>45</v>
      </c>
      <c r="P106" s="5" t="s">
        <v>130</v>
      </c>
      <c r="Q106" s="5">
        <v>8.8000000000000007</v>
      </c>
      <c r="R106" s="5">
        <v>9</v>
      </c>
      <c r="S106" s="5" t="s">
        <v>404</v>
      </c>
      <c r="T106" s="5">
        <v>8.8000000000000007</v>
      </c>
      <c r="U106" s="5" t="s">
        <v>36</v>
      </c>
      <c r="V106" s="5" t="s">
        <v>46</v>
      </c>
      <c r="W106" s="5">
        <v>2</v>
      </c>
      <c r="X106" s="5" t="s">
        <v>38</v>
      </c>
      <c r="Y106" s="5">
        <v>18</v>
      </c>
      <c r="Z106" s="5">
        <v>9</v>
      </c>
      <c r="AA106" s="5" t="s">
        <v>464</v>
      </c>
      <c r="AB106" s="5" t="s">
        <v>465</v>
      </c>
      <c r="AC106" s="6">
        <v>2.0000000000000001E-4</v>
      </c>
      <c r="AD106" s="5"/>
      <c r="AF106" s="15" t="s">
        <v>447</v>
      </c>
      <c r="AG106" s="15" t="s">
        <v>463</v>
      </c>
      <c r="AH106">
        <f t="shared" si="68"/>
        <v>84.705882352941174</v>
      </c>
      <c r="AI106">
        <f t="shared" si="46"/>
        <v>88</v>
      </c>
      <c r="AJ106" s="12">
        <f t="shared" si="47"/>
        <v>92</v>
      </c>
      <c r="AK106">
        <f t="shared" si="48"/>
        <v>96</v>
      </c>
      <c r="AL106">
        <f t="shared" si="49"/>
        <v>85</v>
      </c>
      <c r="AM106">
        <f t="shared" si="50"/>
        <v>70</v>
      </c>
      <c r="AN106">
        <f t="shared" si="44"/>
        <v>99.94019988039976</v>
      </c>
      <c r="AO106">
        <f t="shared" si="51"/>
        <v>90</v>
      </c>
      <c r="AP106">
        <f t="shared" si="52"/>
        <v>88.174676584647287</v>
      </c>
      <c r="AQ106">
        <f t="shared" si="70"/>
        <v>4</v>
      </c>
      <c r="AR106" t="str">
        <f t="shared" si="53"/>
        <v>SUGAR-005</v>
      </c>
      <c r="AS106" s="15" t="s">
        <v>447</v>
      </c>
      <c r="AT106" s="15" t="s">
        <v>463</v>
      </c>
      <c r="AU106">
        <f t="shared" si="69"/>
        <v>84.705882352941174</v>
      </c>
      <c r="AV106">
        <f t="shared" si="54"/>
        <v>85</v>
      </c>
      <c r="AW106">
        <f t="shared" si="55"/>
        <v>96</v>
      </c>
      <c r="AX106">
        <f t="shared" si="56"/>
        <v>88</v>
      </c>
      <c r="AY106">
        <f t="shared" si="45"/>
        <v>99.94019988039976</v>
      </c>
      <c r="AZ106">
        <f t="shared" si="57"/>
        <v>70</v>
      </c>
      <c r="BA106">
        <f t="shared" si="58"/>
        <v>87.558774699902344</v>
      </c>
      <c r="BB106">
        <f t="shared" si="71"/>
        <v>4</v>
      </c>
      <c r="BC106" t="str">
        <f t="shared" si="59"/>
        <v>SUGAR-005</v>
      </c>
    </row>
    <row r="107" spans="2:55" ht="39.6" x14ac:dyDescent="0.3">
      <c r="B107" s="5" t="s">
        <v>29</v>
      </c>
      <c r="C107" s="15" t="s">
        <v>447</v>
      </c>
      <c r="D107" s="5" t="s">
        <v>466</v>
      </c>
      <c r="E107" s="5" t="s">
        <v>467</v>
      </c>
      <c r="F107" s="5" t="s">
        <v>59</v>
      </c>
      <c r="G107" s="5">
        <v>200</v>
      </c>
      <c r="H107" s="5">
        <v>65</v>
      </c>
      <c r="I107" s="5">
        <v>100</v>
      </c>
      <c r="J107" s="5">
        <v>6500</v>
      </c>
      <c r="K107" s="5">
        <v>4</v>
      </c>
      <c r="L107" s="5">
        <v>2</v>
      </c>
      <c r="M107" s="5">
        <v>0.6</v>
      </c>
      <c r="N107" s="5">
        <v>94</v>
      </c>
      <c r="O107" s="5">
        <v>30</v>
      </c>
      <c r="P107" s="5" t="s">
        <v>73</v>
      </c>
      <c r="Q107" s="5">
        <v>8.5</v>
      </c>
      <c r="R107" s="5">
        <v>8.8000000000000007</v>
      </c>
      <c r="S107" s="5" t="s">
        <v>156</v>
      </c>
      <c r="T107" s="5">
        <v>8.5</v>
      </c>
      <c r="U107" s="5" t="s">
        <v>53</v>
      </c>
      <c r="V107" s="5" t="s">
        <v>54</v>
      </c>
      <c r="W107" s="5">
        <v>1</v>
      </c>
      <c r="X107" s="5" t="s">
        <v>38</v>
      </c>
      <c r="Y107" s="5">
        <v>12</v>
      </c>
      <c r="Z107" s="5">
        <v>8.5</v>
      </c>
      <c r="AA107" s="5" t="s">
        <v>468</v>
      </c>
      <c r="AB107" s="5" t="s">
        <v>469</v>
      </c>
      <c r="AC107" s="6">
        <v>1E-3</v>
      </c>
      <c r="AD107" s="5"/>
      <c r="AF107" s="15" t="s">
        <v>447</v>
      </c>
      <c r="AG107" s="15" t="s">
        <v>467</v>
      </c>
      <c r="AH107">
        <f t="shared" si="68"/>
        <v>64.705882352941174</v>
      </c>
      <c r="AI107">
        <f t="shared" si="46"/>
        <v>85</v>
      </c>
      <c r="AJ107" s="12">
        <f t="shared" si="47"/>
        <v>88</v>
      </c>
      <c r="AK107">
        <f t="shared" si="48"/>
        <v>94</v>
      </c>
      <c r="AL107">
        <f t="shared" si="49"/>
        <v>80</v>
      </c>
      <c r="AM107">
        <f t="shared" si="50"/>
        <v>60</v>
      </c>
      <c r="AN107">
        <f t="shared" si="44"/>
        <v>99.980199960399915</v>
      </c>
      <c r="AO107">
        <f t="shared" si="51"/>
        <v>85</v>
      </c>
      <c r="AP107">
        <f t="shared" si="52"/>
        <v>80.425876587047284</v>
      </c>
      <c r="AQ107">
        <f t="shared" si="70"/>
        <v>8</v>
      </c>
      <c r="AR107" t="str">
        <f t="shared" si="53"/>
        <v>SUGAR-006</v>
      </c>
      <c r="AS107" s="15" t="s">
        <v>447</v>
      </c>
      <c r="AT107" s="15" t="s">
        <v>467</v>
      </c>
      <c r="AU107">
        <f t="shared" si="69"/>
        <v>64.705882352941174</v>
      </c>
      <c r="AV107">
        <f t="shared" si="54"/>
        <v>80</v>
      </c>
      <c r="AW107">
        <f t="shared" si="55"/>
        <v>94</v>
      </c>
      <c r="AX107">
        <f t="shared" si="56"/>
        <v>85</v>
      </c>
      <c r="AY107">
        <f t="shared" si="45"/>
        <v>99.980199960399915</v>
      </c>
      <c r="AZ107">
        <f t="shared" si="57"/>
        <v>60</v>
      </c>
      <c r="BA107">
        <f t="shared" si="58"/>
        <v>78.960774703902345</v>
      </c>
      <c r="BB107">
        <f t="shared" si="71"/>
        <v>7</v>
      </c>
      <c r="BC107" t="str">
        <f t="shared" si="59"/>
        <v>SUGAR-006</v>
      </c>
    </row>
    <row r="108" spans="2:55" ht="39.6" x14ac:dyDescent="0.3">
      <c r="B108" s="5" t="s">
        <v>29</v>
      </c>
      <c r="C108" s="15" t="s">
        <v>447</v>
      </c>
      <c r="D108" s="5" t="s">
        <v>470</v>
      </c>
      <c r="E108" s="5" t="s">
        <v>471</v>
      </c>
      <c r="F108" s="5" t="s">
        <v>78</v>
      </c>
      <c r="G108" s="5">
        <v>1400</v>
      </c>
      <c r="H108" s="5">
        <v>35</v>
      </c>
      <c r="I108" s="5">
        <v>5000</v>
      </c>
      <c r="J108" s="5">
        <v>175000</v>
      </c>
      <c r="K108" s="5">
        <v>10</v>
      </c>
      <c r="L108" s="5">
        <v>5</v>
      </c>
      <c r="M108" s="5">
        <v>1.2</v>
      </c>
      <c r="N108" s="5">
        <v>85</v>
      </c>
      <c r="O108" s="5">
        <v>90</v>
      </c>
      <c r="P108" s="5" t="s">
        <v>396</v>
      </c>
      <c r="Q108" s="5">
        <v>6.5</v>
      </c>
      <c r="R108" s="5">
        <v>7.5</v>
      </c>
      <c r="S108" s="5" t="s">
        <v>54</v>
      </c>
      <c r="T108" s="5">
        <v>6</v>
      </c>
      <c r="U108" s="5" t="s">
        <v>174</v>
      </c>
      <c r="V108" s="5" t="s">
        <v>54</v>
      </c>
      <c r="W108" s="5">
        <v>3</v>
      </c>
      <c r="X108" s="5" t="s">
        <v>68</v>
      </c>
      <c r="Y108" s="5">
        <v>40</v>
      </c>
      <c r="Z108" s="5">
        <v>6.5</v>
      </c>
      <c r="AA108" s="5" t="s">
        <v>457</v>
      </c>
      <c r="AB108" s="5" t="s">
        <v>472</v>
      </c>
      <c r="AC108" s="6">
        <v>1.5E-3</v>
      </c>
      <c r="AD108" s="5"/>
      <c r="AF108" s="15" t="s">
        <v>447</v>
      </c>
      <c r="AG108" s="15" t="s">
        <v>471</v>
      </c>
      <c r="AH108">
        <f t="shared" si="68"/>
        <v>100</v>
      </c>
      <c r="AI108">
        <f t="shared" si="46"/>
        <v>65</v>
      </c>
      <c r="AJ108" s="12">
        <f t="shared" si="47"/>
        <v>76</v>
      </c>
      <c r="AK108">
        <f t="shared" si="48"/>
        <v>85</v>
      </c>
      <c r="AL108">
        <f t="shared" si="49"/>
        <v>50</v>
      </c>
      <c r="AM108">
        <f t="shared" si="50"/>
        <v>0</v>
      </c>
      <c r="AN108">
        <f t="shared" si="44"/>
        <v>99.000198000395997</v>
      </c>
      <c r="AO108">
        <f t="shared" si="51"/>
        <v>65</v>
      </c>
      <c r="AP108">
        <f t="shared" si="52"/>
        <v>74.670005940011876</v>
      </c>
      <c r="AQ108">
        <f t="shared" si="70"/>
        <v>9</v>
      </c>
      <c r="AR108" t="str">
        <f t="shared" si="53"/>
        <v>SUGAR-007</v>
      </c>
      <c r="AS108" s="15" t="s">
        <v>447</v>
      </c>
      <c r="AT108" s="15" t="s">
        <v>471</v>
      </c>
      <c r="AU108">
        <f t="shared" si="69"/>
        <v>100</v>
      </c>
      <c r="AV108">
        <f t="shared" si="54"/>
        <v>50</v>
      </c>
      <c r="AW108">
        <f t="shared" si="55"/>
        <v>85</v>
      </c>
      <c r="AX108">
        <f t="shared" si="56"/>
        <v>65</v>
      </c>
      <c r="AY108">
        <f t="shared" si="45"/>
        <v>99.000198000395997</v>
      </c>
      <c r="AZ108">
        <f t="shared" si="57"/>
        <v>0</v>
      </c>
      <c r="BA108">
        <f t="shared" si="58"/>
        <v>74.200009900019808</v>
      </c>
      <c r="BB108">
        <f t="shared" si="71"/>
        <v>8</v>
      </c>
      <c r="BC108" t="str">
        <f t="shared" si="59"/>
        <v>SUGAR-007</v>
      </c>
    </row>
    <row r="109" spans="2:55" ht="39.6" x14ac:dyDescent="0.3">
      <c r="B109" s="5" t="s">
        <v>29</v>
      </c>
      <c r="C109" s="15" t="s">
        <v>447</v>
      </c>
      <c r="D109" s="5" t="s">
        <v>473</v>
      </c>
      <c r="E109" s="5" t="s">
        <v>474</v>
      </c>
      <c r="F109" s="5" t="s">
        <v>72</v>
      </c>
      <c r="G109" s="5">
        <v>15</v>
      </c>
      <c r="H109" s="5">
        <v>38</v>
      </c>
      <c r="I109" s="5">
        <v>1000</v>
      </c>
      <c r="J109" s="5">
        <v>38000</v>
      </c>
      <c r="K109" s="5">
        <v>2</v>
      </c>
      <c r="L109" s="5">
        <v>1</v>
      </c>
      <c r="M109" s="5">
        <v>0.3</v>
      </c>
      <c r="N109" s="5">
        <v>97</v>
      </c>
      <c r="O109" s="5">
        <v>30</v>
      </c>
      <c r="P109" s="5" t="s">
        <v>407</v>
      </c>
      <c r="Q109" s="5">
        <v>8.3000000000000007</v>
      </c>
      <c r="R109" s="5">
        <v>9.3000000000000007</v>
      </c>
      <c r="S109" s="5" t="s">
        <v>67</v>
      </c>
      <c r="T109" s="5">
        <v>8</v>
      </c>
      <c r="U109" s="5" t="s">
        <v>53</v>
      </c>
      <c r="V109" s="5" t="s">
        <v>37</v>
      </c>
      <c r="W109" s="5">
        <v>1</v>
      </c>
      <c r="X109" s="5" t="s">
        <v>38</v>
      </c>
      <c r="Y109" s="5">
        <v>5</v>
      </c>
      <c r="Z109" s="5">
        <v>8.8000000000000007</v>
      </c>
      <c r="AA109" s="5" t="s">
        <v>475</v>
      </c>
      <c r="AB109" s="5" t="s">
        <v>476</v>
      </c>
      <c r="AC109" s="6">
        <v>4.0000000000000002E-4</v>
      </c>
      <c r="AD109" s="5"/>
      <c r="AF109" s="15" t="s">
        <v>447</v>
      </c>
      <c r="AG109" s="15" t="s">
        <v>474</v>
      </c>
      <c r="AH109">
        <f t="shared" si="68"/>
        <v>96.470588235294116</v>
      </c>
      <c r="AI109">
        <f t="shared" si="46"/>
        <v>83</v>
      </c>
      <c r="AJ109" s="12">
        <f t="shared" si="47"/>
        <v>94</v>
      </c>
      <c r="AK109">
        <f t="shared" si="48"/>
        <v>97</v>
      </c>
      <c r="AL109">
        <f t="shared" si="49"/>
        <v>90</v>
      </c>
      <c r="AM109">
        <f t="shared" si="50"/>
        <v>97</v>
      </c>
      <c r="AN109">
        <f t="shared" si="44"/>
        <v>99.800199600399196</v>
      </c>
      <c r="AO109">
        <f t="shared" si="51"/>
        <v>88</v>
      </c>
      <c r="AP109">
        <f t="shared" si="52"/>
        <v>92.121653046835505</v>
      </c>
      <c r="AQ109">
        <f t="shared" si="70"/>
        <v>1</v>
      </c>
      <c r="AR109" t="str">
        <f t="shared" si="53"/>
        <v>SUGAR-008</v>
      </c>
      <c r="AS109" s="15" t="s">
        <v>447</v>
      </c>
      <c r="AT109" s="15" t="s">
        <v>474</v>
      </c>
      <c r="AU109">
        <f t="shared" si="69"/>
        <v>96.470588235294116</v>
      </c>
      <c r="AV109">
        <f t="shared" si="54"/>
        <v>90</v>
      </c>
      <c r="AW109">
        <f t="shared" si="55"/>
        <v>97</v>
      </c>
      <c r="AX109">
        <f t="shared" si="56"/>
        <v>83</v>
      </c>
      <c r="AY109">
        <f t="shared" si="45"/>
        <v>99.800199600399196</v>
      </c>
      <c r="AZ109">
        <f t="shared" si="57"/>
        <v>97</v>
      </c>
      <c r="BA109">
        <f t="shared" si="58"/>
        <v>93.131186450608197</v>
      </c>
      <c r="BB109">
        <f t="shared" si="71"/>
        <v>1</v>
      </c>
      <c r="BC109" t="str">
        <f t="shared" si="59"/>
        <v>SUGAR-008</v>
      </c>
    </row>
    <row r="110" spans="2:55" ht="39.6" x14ac:dyDescent="0.3">
      <c r="B110" s="5" t="s">
        <v>29</v>
      </c>
      <c r="C110" s="15" t="s">
        <v>447</v>
      </c>
      <c r="D110" s="5" t="s">
        <v>477</v>
      </c>
      <c r="E110" s="5" t="s">
        <v>478</v>
      </c>
      <c r="F110" s="5" t="s">
        <v>84</v>
      </c>
      <c r="G110" s="5">
        <v>150</v>
      </c>
      <c r="H110" s="5">
        <v>120</v>
      </c>
      <c r="I110" s="5">
        <v>50</v>
      </c>
      <c r="J110" s="5">
        <v>6000</v>
      </c>
      <c r="K110" s="5">
        <v>7</v>
      </c>
      <c r="L110" s="5">
        <v>3</v>
      </c>
      <c r="M110" s="5">
        <v>0.1</v>
      </c>
      <c r="N110" s="5">
        <v>95</v>
      </c>
      <c r="O110" s="5">
        <v>45</v>
      </c>
      <c r="P110" s="5" t="s">
        <v>118</v>
      </c>
      <c r="Q110" s="5">
        <v>9</v>
      </c>
      <c r="R110" s="5">
        <v>8.5</v>
      </c>
      <c r="S110" s="5" t="s">
        <v>122</v>
      </c>
      <c r="T110" s="5">
        <v>9</v>
      </c>
      <c r="U110" s="5" t="s">
        <v>53</v>
      </c>
      <c r="V110" s="5" t="s">
        <v>54</v>
      </c>
      <c r="W110" s="5">
        <v>2</v>
      </c>
      <c r="X110" s="5" t="s">
        <v>38</v>
      </c>
      <c r="Y110" s="5">
        <v>25</v>
      </c>
      <c r="Z110" s="5">
        <v>8</v>
      </c>
      <c r="AA110" s="5" t="s">
        <v>479</v>
      </c>
      <c r="AB110" s="5" t="s">
        <v>480</v>
      </c>
      <c r="AC110" s="6">
        <v>1E-4</v>
      </c>
      <c r="AD110" s="5"/>
      <c r="AF110" s="15" t="s">
        <v>447</v>
      </c>
      <c r="AG110" s="15" t="s">
        <v>478</v>
      </c>
      <c r="AH110">
        <f t="shared" si="68"/>
        <v>0</v>
      </c>
      <c r="AI110">
        <f t="shared" si="46"/>
        <v>90</v>
      </c>
      <c r="AJ110" s="12">
        <f t="shared" si="47"/>
        <v>98</v>
      </c>
      <c r="AK110">
        <f t="shared" si="48"/>
        <v>95</v>
      </c>
      <c r="AL110">
        <f t="shared" si="49"/>
        <v>65</v>
      </c>
      <c r="AM110">
        <f t="shared" si="50"/>
        <v>70</v>
      </c>
      <c r="AN110">
        <f t="shared" si="44"/>
        <v>99.990199980399964</v>
      </c>
      <c r="AO110">
        <f t="shared" si="51"/>
        <v>80</v>
      </c>
      <c r="AP110">
        <f t="shared" si="52"/>
        <v>66.049705999411998</v>
      </c>
      <c r="AQ110">
        <f t="shared" si="70"/>
        <v>10</v>
      </c>
      <c r="AR110" t="str">
        <f t="shared" si="53"/>
        <v>SUGAR-009</v>
      </c>
      <c r="AS110" s="15" t="s">
        <v>447</v>
      </c>
      <c r="AT110" s="15" t="s">
        <v>478</v>
      </c>
      <c r="AU110">
        <f t="shared" si="69"/>
        <v>0</v>
      </c>
      <c r="AV110">
        <f t="shared" si="54"/>
        <v>65</v>
      </c>
      <c r="AW110">
        <f t="shared" si="55"/>
        <v>95</v>
      </c>
      <c r="AX110">
        <f t="shared" si="56"/>
        <v>90</v>
      </c>
      <c r="AY110">
        <f t="shared" si="45"/>
        <v>99.990199980399964</v>
      </c>
      <c r="AZ110">
        <f t="shared" si="57"/>
        <v>70</v>
      </c>
      <c r="BA110">
        <f t="shared" si="58"/>
        <v>57.249509999019999</v>
      </c>
      <c r="BB110">
        <f t="shared" si="71"/>
        <v>10</v>
      </c>
      <c r="BC110" t="str">
        <f t="shared" si="59"/>
        <v>SUGAR-009</v>
      </c>
    </row>
    <row r="111" spans="2:55" ht="39.6" x14ac:dyDescent="0.3">
      <c r="B111" s="5" t="s">
        <v>29</v>
      </c>
      <c r="C111" s="15" t="s">
        <v>447</v>
      </c>
      <c r="D111" s="5" t="s">
        <v>481</v>
      </c>
      <c r="E111" s="5" t="s">
        <v>482</v>
      </c>
      <c r="F111" s="5" t="s">
        <v>50</v>
      </c>
      <c r="G111" s="5">
        <v>150</v>
      </c>
      <c r="H111" s="5">
        <v>52</v>
      </c>
      <c r="I111" s="5">
        <v>500</v>
      </c>
      <c r="J111" s="5">
        <v>26000</v>
      </c>
      <c r="K111" s="5">
        <v>14</v>
      </c>
      <c r="L111" s="5">
        <v>7</v>
      </c>
      <c r="M111" s="5">
        <v>0.2</v>
      </c>
      <c r="N111" s="5">
        <v>92</v>
      </c>
      <c r="O111" s="5">
        <v>60</v>
      </c>
      <c r="P111" s="5" t="s">
        <v>44</v>
      </c>
      <c r="Q111" s="5">
        <v>8.9</v>
      </c>
      <c r="R111" s="5">
        <v>8.3000000000000007</v>
      </c>
      <c r="S111" s="5" t="s">
        <v>347</v>
      </c>
      <c r="T111" s="5">
        <v>8.9</v>
      </c>
      <c r="U111" s="5" t="s">
        <v>36</v>
      </c>
      <c r="V111" s="5" t="s">
        <v>37</v>
      </c>
      <c r="W111" s="5">
        <v>1</v>
      </c>
      <c r="X111" s="5" t="s">
        <v>38</v>
      </c>
      <c r="Y111" s="5">
        <v>35</v>
      </c>
      <c r="Z111" s="5">
        <v>8</v>
      </c>
      <c r="AA111" s="5" t="s">
        <v>453</v>
      </c>
      <c r="AB111" s="5" t="s">
        <v>483</v>
      </c>
      <c r="AC111" s="6">
        <v>2.0000000000000001E-4</v>
      </c>
      <c r="AD111" s="5"/>
      <c r="AF111" s="15" t="s">
        <v>447</v>
      </c>
      <c r="AG111" s="15" t="s">
        <v>482</v>
      </c>
      <c r="AH111">
        <f t="shared" si="68"/>
        <v>80</v>
      </c>
      <c r="AI111">
        <f t="shared" si="46"/>
        <v>89</v>
      </c>
      <c r="AJ111" s="12">
        <f t="shared" si="47"/>
        <v>96</v>
      </c>
      <c r="AK111">
        <f t="shared" si="48"/>
        <v>92</v>
      </c>
      <c r="AL111">
        <f t="shared" si="49"/>
        <v>30</v>
      </c>
      <c r="AM111">
        <f t="shared" si="50"/>
        <v>70</v>
      </c>
      <c r="AN111">
        <f t="shared" si="44"/>
        <v>99.900199800399605</v>
      </c>
      <c r="AO111">
        <f t="shared" si="51"/>
        <v>80</v>
      </c>
      <c r="AP111">
        <f t="shared" si="52"/>
        <v>81.547005994011982</v>
      </c>
      <c r="AQ111">
        <f t="shared" si="70"/>
        <v>7</v>
      </c>
      <c r="AR111" t="str">
        <f t="shared" si="53"/>
        <v>SUGAR-010</v>
      </c>
      <c r="AS111" s="15" t="s">
        <v>447</v>
      </c>
      <c r="AT111" s="15" t="s">
        <v>482</v>
      </c>
      <c r="AU111">
        <f t="shared" si="69"/>
        <v>80</v>
      </c>
      <c r="AV111">
        <f t="shared" si="54"/>
        <v>30</v>
      </c>
      <c r="AW111">
        <f t="shared" si="55"/>
        <v>92</v>
      </c>
      <c r="AX111">
        <f t="shared" si="56"/>
        <v>89</v>
      </c>
      <c r="AY111">
        <f t="shared" si="45"/>
        <v>99.900199800399605</v>
      </c>
      <c r="AZ111">
        <f t="shared" si="57"/>
        <v>70</v>
      </c>
      <c r="BA111">
        <f t="shared" si="58"/>
        <v>71.74500999001998</v>
      </c>
      <c r="BB111">
        <f t="shared" si="71"/>
        <v>9</v>
      </c>
      <c r="BC111" t="str">
        <f t="shared" si="59"/>
        <v>SUGAR-010</v>
      </c>
    </row>
    <row r="112" spans="2:55" ht="39.6" x14ac:dyDescent="0.3">
      <c r="B112" s="5" t="s">
        <v>29</v>
      </c>
      <c r="C112" s="15" t="s">
        <v>484</v>
      </c>
      <c r="D112" s="5" t="s">
        <v>485</v>
      </c>
      <c r="E112" s="5" t="s">
        <v>486</v>
      </c>
      <c r="F112" s="5" t="s">
        <v>72</v>
      </c>
      <c r="G112" s="5">
        <v>15</v>
      </c>
      <c r="H112" s="5">
        <v>20</v>
      </c>
      <c r="I112" s="5">
        <v>100</v>
      </c>
      <c r="J112" s="5">
        <v>2000</v>
      </c>
      <c r="K112" s="5">
        <v>2</v>
      </c>
      <c r="L112" s="5">
        <v>1</v>
      </c>
      <c r="M112" s="5">
        <v>0.1</v>
      </c>
      <c r="N112" s="5">
        <v>99</v>
      </c>
      <c r="O112" s="5">
        <v>30</v>
      </c>
      <c r="P112" s="5" t="s">
        <v>386</v>
      </c>
      <c r="Q112" s="5">
        <v>9</v>
      </c>
      <c r="R112" s="5">
        <v>9.8000000000000007</v>
      </c>
      <c r="S112" s="5" t="s">
        <v>219</v>
      </c>
      <c r="T112" s="5">
        <v>9</v>
      </c>
      <c r="U112" s="5" t="s">
        <v>36</v>
      </c>
      <c r="V112" s="5" t="s">
        <v>37</v>
      </c>
      <c r="W112" s="5">
        <v>3</v>
      </c>
      <c r="X112" s="5" t="s">
        <v>38</v>
      </c>
      <c r="Y112" s="5">
        <v>20</v>
      </c>
      <c r="Z112" s="5">
        <v>9.5</v>
      </c>
      <c r="AA112" s="5" t="s">
        <v>487</v>
      </c>
      <c r="AB112" s="5" t="s">
        <v>488</v>
      </c>
      <c r="AC112" s="6">
        <v>0.995</v>
      </c>
      <c r="AD112" s="5"/>
      <c r="AF112" s="15" t="s">
        <v>484</v>
      </c>
      <c r="AG112" s="15" t="s">
        <v>486</v>
      </c>
      <c r="AH112">
        <f t="shared" ref="AH112:AH119" si="72">100-((H112-MIN($H$112:$H$119))/(MAX($H$112:$H$119)-MIN($H$112:$H$119))*100)</f>
        <v>84.905660377358487</v>
      </c>
      <c r="AI112">
        <f t="shared" si="46"/>
        <v>90</v>
      </c>
      <c r="AJ112" s="12">
        <f t="shared" si="47"/>
        <v>98</v>
      </c>
      <c r="AK112">
        <f t="shared" si="48"/>
        <v>99</v>
      </c>
      <c r="AL112">
        <f t="shared" si="49"/>
        <v>90</v>
      </c>
      <c r="AM112">
        <f t="shared" si="50"/>
        <v>97</v>
      </c>
      <c r="AN112">
        <f t="shared" si="44"/>
        <v>99.980199960399915</v>
      </c>
      <c r="AO112">
        <f t="shared" si="51"/>
        <v>95</v>
      </c>
      <c r="AP112">
        <f t="shared" si="52"/>
        <v>92.025821093151606</v>
      </c>
      <c r="AQ112">
        <f>RANK(AP112, $AP$112:$AP$119, 0)</f>
        <v>1</v>
      </c>
      <c r="AR112" t="str">
        <f t="shared" si="53"/>
        <v>SALT-001</v>
      </c>
      <c r="AS112" s="15" t="s">
        <v>484</v>
      </c>
      <c r="AT112" s="15" t="s">
        <v>486</v>
      </c>
      <c r="AU112">
        <f t="shared" ref="AU112:AU119" si="73">100-((H112-MIN($H$112:$H$119))/(MAX($H$112:$H$119)-MIN($H$112:$H$119))*100)</f>
        <v>84.905660377358487</v>
      </c>
      <c r="AV112">
        <f t="shared" si="54"/>
        <v>90</v>
      </c>
      <c r="AW112">
        <f t="shared" si="55"/>
        <v>99</v>
      </c>
      <c r="AX112">
        <f t="shared" si="56"/>
        <v>90</v>
      </c>
      <c r="AY112">
        <f t="shared" si="45"/>
        <v>99.980199960399915</v>
      </c>
      <c r="AZ112">
        <f t="shared" si="57"/>
        <v>97</v>
      </c>
      <c r="BA112">
        <f t="shared" si="58"/>
        <v>91.120708111227543</v>
      </c>
      <c r="BB112">
        <f>RANK(BA112, $BA$112:$BA$119, 0)</f>
        <v>1</v>
      </c>
      <c r="BC112" t="str">
        <f t="shared" si="59"/>
        <v>SALT-001</v>
      </c>
    </row>
    <row r="113" spans="2:55" ht="39.6" x14ac:dyDescent="0.3">
      <c r="B113" s="5" t="s">
        <v>29</v>
      </c>
      <c r="C113" s="15" t="s">
        <v>484</v>
      </c>
      <c r="D113" s="5" t="s">
        <v>489</v>
      </c>
      <c r="E113" s="5" t="s">
        <v>490</v>
      </c>
      <c r="F113" s="5" t="s">
        <v>50</v>
      </c>
      <c r="G113" s="5">
        <v>150</v>
      </c>
      <c r="H113" s="5">
        <v>15</v>
      </c>
      <c r="I113" s="5">
        <v>500</v>
      </c>
      <c r="J113" s="5">
        <v>7500</v>
      </c>
      <c r="K113" s="5">
        <v>5</v>
      </c>
      <c r="L113" s="5">
        <v>2</v>
      </c>
      <c r="M113" s="5">
        <v>0.5</v>
      </c>
      <c r="N113" s="5">
        <v>96</v>
      </c>
      <c r="O113" s="5">
        <v>45</v>
      </c>
      <c r="P113" s="5" t="s">
        <v>396</v>
      </c>
      <c r="Q113" s="5">
        <v>7.5</v>
      </c>
      <c r="R113" s="5">
        <v>9</v>
      </c>
      <c r="S113" s="5" t="s">
        <v>54</v>
      </c>
      <c r="T113" s="5">
        <v>7</v>
      </c>
      <c r="U113" s="5" t="s">
        <v>81</v>
      </c>
      <c r="V113" s="5" t="s">
        <v>54</v>
      </c>
      <c r="W113" s="5">
        <v>2</v>
      </c>
      <c r="X113" s="5" t="s">
        <v>38</v>
      </c>
      <c r="Y113" s="5">
        <v>30</v>
      </c>
      <c r="Z113" s="5">
        <v>7.5</v>
      </c>
      <c r="AA113" s="5" t="s">
        <v>491</v>
      </c>
      <c r="AB113" s="5" t="s">
        <v>492</v>
      </c>
      <c r="AC113" s="7">
        <v>0.98</v>
      </c>
      <c r="AD113" s="5"/>
      <c r="AF113" s="15" t="s">
        <v>484</v>
      </c>
      <c r="AG113" s="15" t="s">
        <v>490</v>
      </c>
      <c r="AH113">
        <f t="shared" si="72"/>
        <v>94.339622641509436</v>
      </c>
      <c r="AI113">
        <f t="shared" si="46"/>
        <v>75</v>
      </c>
      <c r="AJ113" s="12">
        <f t="shared" si="47"/>
        <v>90</v>
      </c>
      <c r="AK113">
        <f t="shared" si="48"/>
        <v>96</v>
      </c>
      <c r="AL113">
        <f t="shared" si="49"/>
        <v>75</v>
      </c>
      <c r="AM113">
        <f t="shared" si="50"/>
        <v>70</v>
      </c>
      <c r="AN113">
        <f t="shared" si="44"/>
        <v>99.900199800399605</v>
      </c>
      <c r="AO113">
        <f t="shared" si="51"/>
        <v>75</v>
      </c>
      <c r="AP113">
        <f t="shared" si="52"/>
        <v>85.73191165438935</v>
      </c>
      <c r="AQ113">
        <f t="shared" ref="AQ113:AQ119" si="74">RANK(AP113, $AP$112:$AP$119, 0)</f>
        <v>3</v>
      </c>
      <c r="AR113" t="str">
        <f t="shared" si="53"/>
        <v>SALT-002</v>
      </c>
      <c r="AS113" s="15" t="s">
        <v>484</v>
      </c>
      <c r="AT113" s="15" t="s">
        <v>490</v>
      </c>
      <c r="AU113">
        <f t="shared" si="73"/>
        <v>94.339622641509436</v>
      </c>
      <c r="AV113">
        <f t="shared" si="54"/>
        <v>75</v>
      </c>
      <c r="AW113">
        <f t="shared" si="55"/>
        <v>96</v>
      </c>
      <c r="AX113">
        <f t="shared" si="56"/>
        <v>75</v>
      </c>
      <c r="AY113">
        <f t="shared" si="45"/>
        <v>99.900199800399605</v>
      </c>
      <c r="AZ113">
        <f t="shared" si="57"/>
        <v>70</v>
      </c>
      <c r="BA113">
        <f t="shared" si="58"/>
        <v>85.996896782472817</v>
      </c>
      <c r="BB113">
        <f t="shared" ref="BB113:BB119" si="75">RANK(BA113, $BA$112:$BA$119, 0)</f>
        <v>3</v>
      </c>
      <c r="BC113" t="str">
        <f t="shared" si="59"/>
        <v>SALT-002</v>
      </c>
    </row>
    <row r="114" spans="2:55" ht="39.6" x14ac:dyDescent="0.3">
      <c r="B114" s="5" t="s">
        <v>29</v>
      </c>
      <c r="C114" s="15" t="s">
        <v>484</v>
      </c>
      <c r="D114" s="5" t="s">
        <v>493</v>
      </c>
      <c r="E114" s="5" t="s">
        <v>494</v>
      </c>
      <c r="F114" s="5" t="s">
        <v>50</v>
      </c>
      <c r="G114" s="5">
        <v>150</v>
      </c>
      <c r="H114" s="5">
        <v>45</v>
      </c>
      <c r="I114" s="5">
        <v>50</v>
      </c>
      <c r="J114" s="5">
        <v>2250</v>
      </c>
      <c r="K114" s="5">
        <v>7</v>
      </c>
      <c r="L114" s="5">
        <v>3</v>
      </c>
      <c r="M114" s="5">
        <v>0.2</v>
      </c>
      <c r="N114" s="5">
        <v>94</v>
      </c>
      <c r="O114" s="5" t="s">
        <v>154</v>
      </c>
      <c r="P114" s="5" t="s">
        <v>44</v>
      </c>
      <c r="Q114" s="5">
        <v>8.8000000000000007</v>
      </c>
      <c r="R114" s="5">
        <v>8.5</v>
      </c>
      <c r="S114" s="5" t="s">
        <v>62</v>
      </c>
      <c r="T114" s="5">
        <v>9.1999999999999993</v>
      </c>
      <c r="U114" s="5" t="s">
        <v>53</v>
      </c>
      <c r="V114" s="5" t="s">
        <v>46</v>
      </c>
      <c r="W114" s="5">
        <v>1</v>
      </c>
      <c r="X114" s="5" t="s">
        <v>38</v>
      </c>
      <c r="Y114" s="5">
        <v>45</v>
      </c>
      <c r="Z114" s="5">
        <v>8</v>
      </c>
      <c r="AA114" s="5" t="s">
        <v>495</v>
      </c>
      <c r="AB114" s="5" t="s">
        <v>496</v>
      </c>
      <c r="AC114" s="7">
        <v>0.99</v>
      </c>
      <c r="AD114" s="5"/>
      <c r="AF114" s="15" t="s">
        <v>484</v>
      </c>
      <c r="AG114" s="15" t="s">
        <v>494</v>
      </c>
      <c r="AH114">
        <f t="shared" si="72"/>
        <v>37.735849056603776</v>
      </c>
      <c r="AI114">
        <f t="shared" si="46"/>
        <v>88</v>
      </c>
      <c r="AJ114" s="12">
        <f t="shared" si="47"/>
        <v>96</v>
      </c>
      <c r="AK114">
        <f t="shared" si="48"/>
        <v>94</v>
      </c>
      <c r="AL114">
        <f t="shared" si="49"/>
        <v>65</v>
      </c>
      <c r="AM114">
        <f t="shared" si="50"/>
        <v>70</v>
      </c>
      <c r="AN114">
        <f t="shared" si="44"/>
        <v>99.990199980399964</v>
      </c>
      <c r="AO114">
        <f t="shared" si="51"/>
        <v>80</v>
      </c>
      <c r="AP114">
        <f t="shared" si="52"/>
        <v>74.533668263562944</v>
      </c>
      <c r="AQ114">
        <f t="shared" si="74"/>
        <v>6</v>
      </c>
      <c r="AR114" t="str">
        <f t="shared" si="53"/>
        <v>SALT-003</v>
      </c>
      <c r="AS114" s="15" t="s">
        <v>484</v>
      </c>
      <c r="AT114" s="15" t="s">
        <v>494</v>
      </c>
      <c r="AU114">
        <f t="shared" si="73"/>
        <v>37.735849056603776</v>
      </c>
      <c r="AV114">
        <f t="shared" si="54"/>
        <v>65</v>
      </c>
      <c r="AW114">
        <f t="shared" si="55"/>
        <v>94</v>
      </c>
      <c r="AX114">
        <f t="shared" si="56"/>
        <v>88</v>
      </c>
      <c r="AY114">
        <f t="shared" si="45"/>
        <v>99.990199980399964</v>
      </c>
      <c r="AZ114">
        <f t="shared" si="57"/>
        <v>70</v>
      </c>
      <c r="BA114">
        <f t="shared" si="58"/>
        <v>68.070264716001134</v>
      </c>
      <c r="BB114">
        <f t="shared" si="75"/>
        <v>6</v>
      </c>
      <c r="BC114" t="str">
        <f t="shared" si="59"/>
        <v>SALT-003</v>
      </c>
    </row>
    <row r="115" spans="2:55" ht="39.6" x14ac:dyDescent="0.3">
      <c r="B115" s="5" t="s">
        <v>29</v>
      </c>
      <c r="C115" s="15" t="s">
        <v>484</v>
      </c>
      <c r="D115" s="5" t="s">
        <v>497</v>
      </c>
      <c r="E115" s="5" t="s">
        <v>498</v>
      </c>
      <c r="F115" s="5" t="s">
        <v>33</v>
      </c>
      <c r="G115" s="5">
        <v>65</v>
      </c>
      <c r="H115" s="5">
        <v>18</v>
      </c>
      <c r="I115" s="5">
        <v>200</v>
      </c>
      <c r="J115" s="5">
        <v>3600</v>
      </c>
      <c r="K115" s="5">
        <v>3</v>
      </c>
      <c r="L115" s="5">
        <v>1</v>
      </c>
      <c r="M115" s="5">
        <v>0.3</v>
      </c>
      <c r="N115" s="5">
        <v>97</v>
      </c>
      <c r="O115" s="5">
        <v>30</v>
      </c>
      <c r="P115" s="5" t="s">
        <v>51</v>
      </c>
      <c r="Q115" s="5">
        <v>8.5</v>
      </c>
      <c r="R115" s="5">
        <v>9.3000000000000007</v>
      </c>
      <c r="S115" s="5" t="s">
        <v>67</v>
      </c>
      <c r="T115" s="5">
        <v>8.5</v>
      </c>
      <c r="U115" s="5" t="s">
        <v>53</v>
      </c>
      <c r="V115" s="5" t="s">
        <v>54</v>
      </c>
      <c r="W115" s="5">
        <v>1</v>
      </c>
      <c r="X115" s="5" t="s">
        <v>38</v>
      </c>
      <c r="Y115" s="5">
        <v>15</v>
      </c>
      <c r="Z115" s="5">
        <v>8.8000000000000007</v>
      </c>
      <c r="AA115" s="5" t="s">
        <v>499</v>
      </c>
      <c r="AB115" s="5" t="s">
        <v>500</v>
      </c>
      <c r="AC115" s="6">
        <v>0.99199999999999999</v>
      </c>
      <c r="AD115" s="5"/>
      <c r="AF115" s="15" t="s">
        <v>484</v>
      </c>
      <c r="AG115" s="15" t="s">
        <v>498</v>
      </c>
      <c r="AH115">
        <f t="shared" si="72"/>
        <v>88.679245283018872</v>
      </c>
      <c r="AI115">
        <f t="shared" si="46"/>
        <v>85</v>
      </c>
      <c r="AJ115" s="12">
        <f t="shared" si="47"/>
        <v>94</v>
      </c>
      <c r="AK115">
        <f t="shared" si="48"/>
        <v>97</v>
      </c>
      <c r="AL115">
        <f t="shared" si="49"/>
        <v>85</v>
      </c>
      <c r="AM115">
        <f t="shared" si="50"/>
        <v>87</v>
      </c>
      <c r="AN115">
        <f t="shared" si="44"/>
        <v>99.960199920399845</v>
      </c>
      <c r="AO115">
        <f t="shared" si="51"/>
        <v>88</v>
      </c>
      <c r="AP115">
        <f t="shared" si="52"/>
        <v>89.678617318366719</v>
      </c>
      <c r="AQ115">
        <f t="shared" si="74"/>
        <v>2</v>
      </c>
      <c r="AR115" t="str">
        <f t="shared" si="53"/>
        <v>SALT-004</v>
      </c>
      <c r="AS115" s="15" t="s">
        <v>484</v>
      </c>
      <c r="AT115" s="15" t="s">
        <v>498</v>
      </c>
      <c r="AU115">
        <f t="shared" si="73"/>
        <v>88.679245283018872</v>
      </c>
      <c r="AV115">
        <f t="shared" si="54"/>
        <v>85</v>
      </c>
      <c r="AW115">
        <f t="shared" si="55"/>
        <v>97</v>
      </c>
      <c r="AX115">
        <f t="shared" si="56"/>
        <v>85</v>
      </c>
      <c r="AY115">
        <f t="shared" si="45"/>
        <v>99.960199920399845</v>
      </c>
      <c r="AZ115">
        <f t="shared" si="57"/>
        <v>87</v>
      </c>
      <c r="BA115">
        <f t="shared" si="58"/>
        <v>89.351783580925641</v>
      </c>
      <c r="BB115">
        <f t="shared" si="75"/>
        <v>2</v>
      </c>
      <c r="BC115" t="str">
        <f t="shared" si="59"/>
        <v>SALT-004</v>
      </c>
    </row>
    <row r="116" spans="2:55" ht="39.6" x14ac:dyDescent="0.3">
      <c r="B116" s="5" t="s">
        <v>29</v>
      </c>
      <c r="C116" s="15" t="s">
        <v>484</v>
      </c>
      <c r="D116" s="5" t="s">
        <v>501</v>
      </c>
      <c r="E116" s="5" t="s">
        <v>502</v>
      </c>
      <c r="F116" s="5" t="s">
        <v>84</v>
      </c>
      <c r="G116" s="5">
        <v>150</v>
      </c>
      <c r="H116" s="5">
        <v>35</v>
      </c>
      <c r="I116" s="5">
        <v>100</v>
      </c>
      <c r="J116" s="5">
        <v>3500</v>
      </c>
      <c r="K116" s="5">
        <v>4</v>
      </c>
      <c r="L116" s="5">
        <v>2</v>
      </c>
      <c r="M116" s="5">
        <v>0.4</v>
      </c>
      <c r="N116" s="5">
        <v>95</v>
      </c>
      <c r="O116" s="5">
        <v>45</v>
      </c>
      <c r="P116" s="5" t="s">
        <v>130</v>
      </c>
      <c r="Q116" s="5">
        <v>8.1999999999999993</v>
      </c>
      <c r="R116" s="5">
        <v>8.9</v>
      </c>
      <c r="S116" s="5" t="s">
        <v>503</v>
      </c>
      <c r="T116" s="5">
        <v>8.1999999999999993</v>
      </c>
      <c r="U116" s="5" t="s">
        <v>53</v>
      </c>
      <c r="V116" s="5" t="s">
        <v>54</v>
      </c>
      <c r="W116" s="5">
        <v>2</v>
      </c>
      <c r="X116" s="5" t="s">
        <v>38</v>
      </c>
      <c r="Y116" s="5">
        <v>25</v>
      </c>
      <c r="Z116" s="5">
        <v>8.1999999999999993</v>
      </c>
      <c r="AA116" s="5" t="s">
        <v>504</v>
      </c>
      <c r="AB116" s="5" t="s">
        <v>505</v>
      </c>
      <c r="AC116" s="6">
        <v>0.98499999999999999</v>
      </c>
      <c r="AD116" s="5"/>
      <c r="AF116" s="15" t="s">
        <v>484</v>
      </c>
      <c r="AG116" s="15" t="s">
        <v>502</v>
      </c>
      <c r="AH116">
        <f t="shared" si="72"/>
        <v>56.60377358490566</v>
      </c>
      <c r="AI116">
        <f t="shared" si="46"/>
        <v>82</v>
      </c>
      <c r="AJ116" s="12">
        <f t="shared" si="47"/>
        <v>92</v>
      </c>
      <c r="AK116">
        <f t="shared" si="48"/>
        <v>95</v>
      </c>
      <c r="AL116">
        <f t="shared" si="49"/>
        <v>80</v>
      </c>
      <c r="AM116">
        <f t="shared" si="50"/>
        <v>70</v>
      </c>
      <c r="AN116">
        <f t="shared" si="44"/>
        <v>99.980199960399915</v>
      </c>
      <c r="AO116">
        <f t="shared" si="51"/>
        <v>82</v>
      </c>
      <c r="AP116">
        <f t="shared" si="52"/>
        <v>78.840349395038416</v>
      </c>
      <c r="AQ116">
        <f t="shared" si="74"/>
        <v>4</v>
      </c>
      <c r="AR116" t="str">
        <f t="shared" si="53"/>
        <v>SALT-005</v>
      </c>
      <c r="AS116" s="15" t="s">
        <v>484</v>
      </c>
      <c r="AT116" s="15" t="s">
        <v>502</v>
      </c>
      <c r="AU116">
        <f t="shared" si="73"/>
        <v>56.60377358490566</v>
      </c>
      <c r="AV116">
        <f t="shared" si="54"/>
        <v>80</v>
      </c>
      <c r="AW116">
        <f t="shared" si="55"/>
        <v>95</v>
      </c>
      <c r="AX116">
        <f t="shared" si="56"/>
        <v>82</v>
      </c>
      <c r="AY116">
        <f t="shared" si="45"/>
        <v>99.980199960399915</v>
      </c>
      <c r="AZ116">
        <f t="shared" si="57"/>
        <v>70</v>
      </c>
      <c r="BA116">
        <f t="shared" si="58"/>
        <v>76.780142073491703</v>
      </c>
      <c r="BB116">
        <f t="shared" si="75"/>
        <v>5</v>
      </c>
      <c r="BC116" t="str">
        <f t="shared" si="59"/>
        <v>SALT-005</v>
      </c>
    </row>
    <row r="117" spans="2:55" ht="39.6" x14ac:dyDescent="0.3">
      <c r="B117" s="5" t="s">
        <v>29</v>
      </c>
      <c r="C117" s="15" t="s">
        <v>484</v>
      </c>
      <c r="D117" s="5" t="s">
        <v>506</v>
      </c>
      <c r="E117" s="5" t="s">
        <v>507</v>
      </c>
      <c r="F117" s="5" t="s">
        <v>78</v>
      </c>
      <c r="G117" s="5">
        <v>1400</v>
      </c>
      <c r="H117" s="5">
        <v>12</v>
      </c>
      <c r="I117" s="5">
        <v>2000</v>
      </c>
      <c r="J117" s="5">
        <v>24000</v>
      </c>
      <c r="K117" s="5">
        <v>7</v>
      </c>
      <c r="L117" s="5">
        <v>3</v>
      </c>
      <c r="M117" s="5">
        <v>0.8</v>
      </c>
      <c r="N117" s="5">
        <v>88</v>
      </c>
      <c r="O117" s="5">
        <v>90</v>
      </c>
      <c r="P117" s="5" t="s">
        <v>508</v>
      </c>
      <c r="Q117" s="5">
        <v>6.8</v>
      </c>
      <c r="R117" s="5">
        <v>7.8</v>
      </c>
      <c r="S117" s="5" t="s">
        <v>54</v>
      </c>
      <c r="T117" s="5">
        <v>6.5</v>
      </c>
      <c r="U117" s="5" t="s">
        <v>174</v>
      </c>
      <c r="V117" s="5" t="s">
        <v>54</v>
      </c>
      <c r="W117" s="5">
        <v>3</v>
      </c>
      <c r="X117" s="5" t="s">
        <v>68</v>
      </c>
      <c r="Y117" s="5">
        <v>10</v>
      </c>
      <c r="Z117" s="5">
        <v>6.5</v>
      </c>
      <c r="AA117" s="5" t="s">
        <v>457</v>
      </c>
      <c r="AB117" s="5" t="s">
        <v>509</v>
      </c>
      <c r="AC117" s="7">
        <v>0.97</v>
      </c>
      <c r="AD117" s="5"/>
      <c r="AF117" s="15" t="s">
        <v>484</v>
      </c>
      <c r="AG117" s="15" t="s">
        <v>507</v>
      </c>
      <c r="AH117">
        <f t="shared" si="72"/>
        <v>100</v>
      </c>
      <c r="AI117">
        <f t="shared" si="46"/>
        <v>68</v>
      </c>
      <c r="AJ117" s="12">
        <f t="shared" si="47"/>
        <v>84</v>
      </c>
      <c r="AK117">
        <f t="shared" si="48"/>
        <v>88</v>
      </c>
      <c r="AL117">
        <f t="shared" si="49"/>
        <v>65</v>
      </c>
      <c r="AM117">
        <f t="shared" si="50"/>
        <v>0</v>
      </c>
      <c r="AN117">
        <f t="shared" si="44"/>
        <v>99.600199200398407</v>
      </c>
      <c r="AO117">
        <f t="shared" si="51"/>
        <v>65</v>
      </c>
      <c r="AP117">
        <f t="shared" si="52"/>
        <v>78.588005976011942</v>
      </c>
      <c r="AQ117">
        <f t="shared" si="74"/>
        <v>5</v>
      </c>
      <c r="AR117" t="str">
        <f t="shared" si="53"/>
        <v>SALT-006</v>
      </c>
      <c r="AS117" s="15" t="s">
        <v>484</v>
      </c>
      <c r="AT117" s="15" t="s">
        <v>507</v>
      </c>
      <c r="AU117">
        <f t="shared" si="73"/>
        <v>100</v>
      </c>
      <c r="AV117">
        <f t="shared" si="54"/>
        <v>65</v>
      </c>
      <c r="AW117">
        <f t="shared" si="55"/>
        <v>88</v>
      </c>
      <c r="AX117">
        <f t="shared" si="56"/>
        <v>68</v>
      </c>
      <c r="AY117">
        <f t="shared" si="45"/>
        <v>99.600199200398407</v>
      </c>
      <c r="AZ117">
        <f t="shared" si="57"/>
        <v>0</v>
      </c>
      <c r="BA117">
        <f t="shared" si="58"/>
        <v>79.030009960019925</v>
      </c>
      <c r="BB117">
        <f t="shared" si="75"/>
        <v>4</v>
      </c>
      <c r="BC117" t="str">
        <f t="shared" si="59"/>
        <v>SALT-006</v>
      </c>
    </row>
    <row r="118" spans="2:55" ht="39.6" x14ac:dyDescent="0.3">
      <c r="B118" s="5" t="s">
        <v>29</v>
      </c>
      <c r="C118" s="15" t="s">
        <v>484</v>
      </c>
      <c r="D118" s="5" t="s">
        <v>510</v>
      </c>
      <c r="E118" s="5" t="s">
        <v>511</v>
      </c>
      <c r="F118" s="5" t="s">
        <v>512</v>
      </c>
      <c r="G118" s="5">
        <v>600</v>
      </c>
      <c r="H118" s="5">
        <v>65</v>
      </c>
      <c r="I118" s="5">
        <v>50</v>
      </c>
      <c r="J118" s="5">
        <v>3250</v>
      </c>
      <c r="K118" s="5">
        <v>10</v>
      </c>
      <c r="L118" s="5">
        <v>5</v>
      </c>
      <c r="M118" s="5">
        <v>0.1</v>
      </c>
      <c r="N118" s="5">
        <v>93</v>
      </c>
      <c r="O118" s="5">
        <v>30</v>
      </c>
      <c r="P118" s="5" t="s">
        <v>73</v>
      </c>
      <c r="Q118" s="5">
        <v>9.5</v>
      </c>
      <c r="R118" s="5">
        <v>8.5</v>
      </c>
      <c r="S118" s="5" t="s">
        <v>513</v>
      </c>
      <c r="T118" s="5">
        <v>9.8000000000000007</v>
      </c>
      <c r="U118" s="5" t="s">
        <v>53</v>
      </c>
      <c r="V118" s="5" t="s">
        <v>54</v>
      </c>
      <c r="W118" s="5">
        <v>1</v>
      </c>
      <c r="X118" s="5" t="s">
        <v>38</v>
      </c>
      <c r="Y118" s="5">
        <v>60</v>
      </c>
      <c r="Z118" s="5">
        <v>9</v>
      </c>
      <c r="AA118" s="5" t="s">
        <v>514</v>
      </c>
      <c r="AB118" s="5" t="s">
        <v>496</v>
      </c>
      <c r="AC118" s="7">
        <v>0.99</v>
      </c>
      <c r="AD118" s="5"/>
      <c r="AF118" s="15" t="s">
        <v>484</v>
      </c>
      <c r="AG118" s="15" t="s">
        <v>511</v>
      </c>
      <c r="AH118">
        <f t="shared" si="72"/>
        <v>0</v>
      </c>
      <c r="AI118">
        <f t="shared" si="46"/>
        <v>95</v>
      </c>
      <c r="AJ118" s="12">
        <f t="shared" si="47"/>
        <v>98</v>
      </c>
      <c r="AK118">
        <f t="shared" si="48"/>
        <v>93</v>
      </c>
      <c r="AL118">
        <f t="shared" si="49"/>
        <v>50</v>
      </c>
      <c r="AM118">
        <f t="shared" si="50"/>
        <v>0</v>
      </c>
      <c r="AN118">
        <f t="shared" si="44"/>
        <v>99.990199980399964</v>
      </c>
      <c r="AO118">
        <f t="shared" si="51"/>
        <v>90</v>
      </c>
      <c r="AP118">
        <f t="shared" si="52"/>
        <v>62.199705999412004</v>
      </c>
      <c r="AQ118">
        <f t="shared" si="74"/>
        <v>8</v>
      </c>
      <c r="AR118" t="str">
        <f t="shared" si="53"/>
        <v>SALT-007</v>
      </c>
      <c r="AS118" s="15" t="s">
        <v>484</v>
      </c>
      <c r="AT118" s="15" t="s">
        <v>511</v>
      </c>
      <c r="AU118">
        <f t="shared" si="73"/>
        <v>0</v>
      </c>
      <c r="AV118">
        <f t="shared" si="54"/>
        <v>50</v>
      </c>
      <c r="AW118">
        <f t="shared" si="55"/>
        <v>93</v>
      </c>
      <c r="AX118">
        <f t="shared" si="56"/>
        <v>95</v>
      </c>
      <c r="AY118">
        <f t="shared" si="45"/>
        <v>99.990199980399964</v>
      </c>
      <c r="AZ118">
        <f t="shared" si="57"/>
        <v>0</v>
      </c>
      <c r="BA118">
        <f t="shared" si="58"/>
        <v>50.34950999902</v>
      </c>
      <c r="BB118">
        <f t="shared" si="75"/>
        <v>8</v>
      </c>
      <c r="BC118" t="str">
        <f t="shared" si="59"/>
        <v>SALT-007</v>
      </c>
    </row>
    <row r="119" spans="2:55" ht="39.6" x14ac:dyDescent="0.3">
      <c r="B119" s="5" t="s">
        <v>29</v>
      </c>
      <c r="C119" s="15" t="s">
        <v>484</v>
      </c>
      <c r="D119" s="5" t="s">
        <v>515</v>
      </c>
      <c r="E119" s="5" t="s">
        <v>516</v>
      </c>
      <c r="F119" s="5" t="s">
        <v>72</v>
      </c>
      <c r="G119" s="5">
        <v>20</v>
      </c>
      <c r="H119" s="5">
        <v>55</v>
      </c>
      <c r="I119" s="5">
        <v>100</v>
      </c>
      <c r="J119" s="5">
        <v>5500</v>
      </c>
      <c r="K119" s="5">
        <v>5</v>
      </c>
      <c r="L119" s="5">
        <v>2</v>
      </c>
      <c r="M119" s="5">
        <v>0.3</v>
      </c>
      <c r="N119" s="5">
        <v>96</v>
      </c>
      <c r="O119" s="5">
        <v>30</v>
      </c>
      <c r="P119" s="5" t="s">
        <v>85</v>
      </c>
      <c r="Q119" s="5">
        <v>8.6999999999999993</v>
      </c>
      <c r="R119" s="5">
        <v>9.1</v>
      </c>
      <c r="S119" s="5" t="s">
        <v>67</v>
      </c>
      <c r="T119" s="5">
        <v>8.6999999999999993</v>
      </c>
      <c r="U119" s="5" t="s">
        <v>53</v>
      </c>
      <c r="V119" s="5" t="s">
        <v>54</v>
      </c>
      <c r="W119" s="5">
        <v>1</v>
      </c>
      <c r="X119" s="5" t="s">
        <v>38</v>
      </c>
      <c r="Y119" s="5">
        <v>20</v>
      </c>
      <c r="Z119" s="5">
        <v>8.6999999999999993</v>
      </c>
      <c r="AA119" s="5" t="s">
        <v>517</v>
      </c>
      <c r="AB119" s="5" t="s">
        <v>488</v>
      </c>
      <c r="AC119" s="7">
        <v>0.99</v>
      </c>
      <c r="AD119" s="5"/>
      <c r="AF119" s="15" t="s">
        <v>484</v>
      </c>
      <c r="AG119" s="15" t="s">
        <v>516</v>
      </c>
      <c r="AH119">
        <f t="shared" si="72"/>
        <v>18.867924528301884</v>
      </c>
      <c r="AI119">
        <f t="shared" si="46"/>
        <v>87</v>
      </c>
      <c r="AJ119" s="12">
        <f t="shared" si="47"/>
        <v>94</v>
      </c>
      <c r="AK119">
        <f t="shared" si="48"/>
        <v>96</v>
      </c>
      <c r="AL119">
        <f t="shared" si="49"/>
        <v>75</v>
      </c>
      <c r="AM119">
        <f t="shared" si="50"/>
        <v>96</v>
      </c>
      <c r="AN119">
        <f t="shared" si="44"/>
        <v>99.980199960399915</v>
      </c>
      <c r="AO119">
        <f t="shared" si="51"/>
        <v>87</v>
      </c>
      <c r="AP119">
        <f t="shared" si="52"/>
        <v>72.006387130887461</v>
      </c>
      <c r="AQ119">
        <f t="shared" si="74"/>
        <v>7</v>
      </c>
      <c r="AR119" t="str">
        <f t="shared" si="53"/>
        <v>SALT-008</v>
      </c>
      <c r="AS119" s="15" t="s">
        <v>484</v>
      </c>
      <c r="AT119" s="15" t="s">
        <v>516</v>
      </c>
      <c r="AU119">
        <f t="shared" si="73"/>
        <v>18.867924528301884</v>
      </c>
      <c r="AV119">
        <f t="shared" si="54"/>
        <v>75</v>
      </c>
      <c r="AW119">
        <f t="shared" si="55"/>
        <v>96</v>
      </c>
      <c r="AX119">
        <f t="shared" si="56"/>
        <v>87</v>
      </c>
      <c r="AY119">
        <f t="shared" si="45"/>
        <v>99.980199960399915</v>
      </c>
      <c r="AZ119">
        <f t="shared" si="57"/>
        <v>96</v>
      </c>
      <c r="BA119">
        <f t="shared" si="58"/>
        <v>66.459387356510561</v>
      </c>
      <c r="BB119">
        <f t="shared" si="75"/>
        <v>7</v>
      </c>
      <c r="BC119" t="str">
        <f t="shared" si="59"/>
        <v>SALT-008</v>
      </c>
    </row>
    <row r="120" spans="2:55" ht="39.6" x14ac:dyDescent="0.3">
      <c r="B120" s="5" t="s">
        <v>29</v>
      </c>
      <c r="C120" s="15" t="s">
        <v>518</v>
      </c>
      <c r="D120" s="5" t="s">
        <v>519</v>
      </c>
      <c r="E120" s="5" t="s">
        <v>520</v>
      </c>
      <c r="F120" s="5" t="s">
        <v>50</v>
      </c>
      <c r="G120" s="5">
        <v>150</v>
      </c>
      <c r="H120" s="5">
        <v>450</v>
      </c>
      <c r="I120" s="5">
        <v>50</v>
      </c>
      <c r="J120" s="5">
        <v>22500</v>
      </c>
      <c r="K120" s="5">
        <v>14</v>
      </c>
      <c r="L120" s="5">
        <v>7</v>
      </c>
      <c r="M120" s="5">
        <v>0.05</v>
      </c>
      <c r="N120" s="5">
        <v>94</v>
      </c>
      <c r="O120" s="5" t="s">
        <v>154</v>
      </c>
      <c r="P120" s="5" t="s">
        <v>301</v>
      </c>
      <c r="Q120" s="5">
        <v>9.9</v>
      </c>
      <c r="R120" s="5">
        <v>8.5</v>
      </c>
      <c r="S120" s="5" t="s">
        <v>74</v>
      </c>
      <c r="T120" s="5">
        <v>9.5</v>
      </c>
      <c r="U120" s="5" t="s">
        <v>36</v>
      </c>
      <c r="V120" s="5" t="s">
        <v>37</v>
      </c>
      <c r="W120" s="5">
        <v>1</v>
      </c>
      <c r="X120" s="5" t="s">
        <v>38</v>
      </c>
      <c r="Y120" s="5">
        <v>90</v>
      </c>
      <c r="Z120" s="5">
        <v>8.5</v>
      </c>
      <c r="AA120" s="5" t="s">
        <v>75</v>
      </c>
      <c r="AB120" s="5" t="s">
        <v>521</v>
      </c>
      <c r="AC120" s="5" t="s">
        <v>270</v>
      </c>
      <c r="AD120" s="5"/>
      <c r="AF120" s="15" t="s">
        <v>518</v>
      </c>
      <c r="AG120" s="15" t="s">
        <v>520</v>
      </c>
      <c r="AH120">
        <f t="shared" ref="AH120:AH127" si="76">100-((H120-MIN($H$120:$H$127))/(MAX($H$120:$H$127)-MIN($H$120:$H$127))*100)</f>
        <v>13.043478260869563</v>
      </c>
      <c r="AI120">
        <f t="shared" si="46"/>
        <v>99</v>
      </c>
      <c r="AJ120" s="12">
        <f t="shared" si="47"/>
        <v>99</v>
      </c>
      <c r="AK120">
        <f t="shared" si="48"/>
        <v>94</v>
      </c>
      <c r="AL120">
        <f t="shared" si="49"/>
        <v>30</v>
      </c>
      <c r="AM120">
        <f t="shared" si="50"/>
        <v>70</v>
      </c>
      <c r="AN120">
        <f t="shared" si="44"/>
        <v>99.990199980399964</v>
      </c>
      <c r="AO120">
        <f t="shared" si="51"/>
        <v>85</v>
      </c>
      <c r="AP120">
        <f t="shared" si="52"/>
        <v>68.160575564629397</v>
      </c>
      <c r="AQ120">
        <f>RANK(AP120, $AP$120:$AP$127, 0)</f>
        <v>7</v>
      </c>
      <c r="AR120" t="str">
        <f t="shared" si="53"/>
        <v>YEAST-001</v>
      </c>
      <c r="AS120" s="15" t="s">
        <v>518</v>
      </c>
      <c r="AT120" s="15" t="s">
        <v>520</v>
      </c>
      <c r="AU120">
        <f t="shared" ref="AU120:AU127" si="77">100-((H120-MIN($H$120:$H$127))/(MAX($H$120:$H$127)-MIN($H$120:$H$127))*100)</f>
        <v>13.043478260869563</v>
      </c>
      <c r="AV120">
        <f t="shared" si="54"/>
        <v>30</v>
      </c>
      <c r="AW120">
        <f t="shared" si="55"/>
        <v>94</v>
      </c>
      <c r="AX120">
        <f t="shared" si="56"/>
        <v>99</v>
      </c>
      <c r="AY120">
        <f t="shared" si="45"/>
        <v>99.990199980399964</v>
      </c>
      <c r="AZ120">
        <f t="shared" si="57"/>
        <v>70</v>
      </c>
      <c r="BA120">
        <f t="shared" si="58"/>
        <v>53.562553477280872</v>
      </c>
      <c r="BB120">
        <f>RANK(BA120, $BA$120:$BA$127, 0)</f>
        <v>7</v>
      </c>
      <c r="BC120" t="str">
        <f t="shared" si="59"/>
        <v>YEAST-001</v>
      </c>
    </row>
    <row r="121" spans="2:55" ht="39.6" x14ac:dyDescent="0.3">
      <c r="B121" s="5" t="s">
        <v>29</v>
      </c>
      <c r="C121" s="15" t="s">
        <v>518</v>
      </c>
      <c r="D121" s="5" t="s">
        <v>522</v>
      </c>
      <c r="E121" s="5" t="s">
        <v>523</v>
      </c>
      <c r="F121" s="5" t="s">
        <v>524</v>
      </c>
      <c r="G121" s="5">
        <v>30</v>
      </c>
      <c r="H121" s="5">
        <v>320</v>
      </c>
      <c r="I121" s="5">
        <v>100</v>
      </c>
      <c r="J121" s="5">
        <v>32000</v>
      </c>
      <c r="K121" s="5">
        <v>7</v>
      </c>
      <c r="L121" s="5">
        <v>3</v>
      </c>
      <c r="M121" s="5">
        <v>0.2</v>
      </c>
      <c r="N121" s="5">
        <v>98</v>
      </c>
      <c r="O121" s="5">
        <v>30</v>
      </c>
      <c r="P121" s="5" t="s">
        <v>346</v>
      </c>
      <c r="Q121" s="5">
        <v>8.5</v>
      </c>
      <c r="R121" s="5">
        <v>9.6999999999999993</v>
      </c>
      <c r="S121" s="5" t="s">
        <v>67</v>
      </c>
      <c r="T121" s="5">
        <v>8</v>
      </c>
      <c r="U121" s="5" t="s">
        <v>53</v>
      </c>
      <c r="V121" s="5" t="s">
        <v>54</v>
      </c>
      <c r="W121" s="5">
        <v>2</v>
      </c>
      <c r="X121" s="5" t="s">
        <v>38</v>
      </c>
      <c r="Y121" s="5">
        <v>60</v>
      </c>
      <c r="Z121" s="5">
        <v>9</v>
      </c>
      <c r="AA121" s="5" t="s">
        <v>525</v>
      </c>
      <c r="AB121" s="5" t="s">
        <v>526</v>
      </c>
      <c r="AC121" s="5" t="s">
        <v>303</v>
      </c>
      <c r="AD121" s="5"/>
      <c r="AF121" s="15" t="s">
        <v>518</v>
      </c>
      <c r="AG121" s="15" t="s">
        <v>523</v>
      </c>
      <c r="AH121">
        <f t="shared" si="76"/>
        <v>69.565217391304344</v>
      </c>
      <c r="AI121">
        <f t="shared" si="46"/>
        <v>85</v>
      </c>
      <c r="AJ121" s="12">
        <f t="shared" si="47"/>
        <v>96</v>
      </c>
      <c r="AK121">
        <f t="shared" si="48"/>
        <v>98</v>
      </c>
      <c r="AL121">
        <f t="shared" si="49"/>
        <v>65</v>
      </c>
      <c r="AM121">
        <f t="shared" si="50"/>
        <v>94</v>
      </c>
      <c r="AN121">
        <f t="shared" si="44"/>
        <v>99.980199960399915</v>
      </c>
      <c r="AO121">
        <f t="shared" si="51"/>
        <v>90</v>
      </c>
      <c r="AP121">
        <f t="shared" si="52"/>
        <v>83.740710346638082</v>
      </c>
      <c r="AQ121">
        <f t="shared" ref="AQ121:AQ127" si="78">RANK(AP121, $AP$120:$AP$127, 0)</f>
        <v>2</v>
      </c>
      <c r="AR121" t="str">
        <f t="shared" si="53"/>
        <v>YEAST-002</v>
      </c>
      <c r="AS121" s="15" t="s">
        <v>518</v>
      </c>
      <c r="AT121" s="15" t="s">
        <v>523</v>
      </c>
      <c r="AU121">
        <f t="shared" si="77"/>
        <v>69.565217391304344</v>
      </c>
      <c r="AV121">
        <f t="shared" si="54"/>
        <v>65</v>
      </c>
      <c r="AW121">
        <f t="shared" si="55"/>
        <v>98</v>
      </c>
      <c r="AX121">
        <f t="shared" si="56"/>
        <v>85</v>
      </c>
      <c r="AY121">
        <f t="shared" si="45"/>
        <v>99.980199960399915</v>
      </c>
      <c r="AZ121">
        <f t="shared" si="57"/>
        <v>94</v>
      </c>
      <c r="BA121">
        <f t="shared" si="58"/>
        <v>79.168575215411309</v>
      </c>
      <c r="BB121">
        <f t="shared" ref="BB121:BB127" si="79">RANK(BA121, $BA$120:$BA$127, 0)</f>
        <v>3</v>
      </c>
      <c r="BC121" t="str">
        <f t="shared" si="59"/>
        <v>YEAST-002</v>
      </c>
    </row>
    <row r="122" spans="2:55" ht="39.6" x14ac:dyDescent="0.3">
      <c r="B122" s="5" t="s">
        <v>29</v>
      </c>
      <c r="C122" s="15" t="s">
        <v>518</v>
      </c>
      <c r="D122" s="5" t="s">
        <v>527</v>
      </c>
      <c r="E122" s="5" t="s">
        <v>528</v>
      </c>
      <c r="F122" s="5" t="s">
        <v>50</v>
      </c>
      <c r="G122" s="5">
        <v>150</v>
      </c>
      <c r="H122" s="5">
        <v>480</v>
      </c>
      <c r="I122" s="5">
        <v>25</v>
      </c>
      <c r="J122" s="5">
        <v>12000</v>
      </c>
      <c r="K122" s="5">
        <v>21</v>
      </c>
      <c r="L122" s="5">
        <v>10</v>
      </c>
      <c r="M122" s="5">
        <v>0.03</v>
      </c>
      <c r="N122" s="5">
        <v>92</v>
      </c>
      <c r="O122" s="5" t="s">
        <v>159</v>
      </c>
      <c r="P122" s="5" t="s">
        <v>266</v>
      </c>
      <c r="Q122" s="5">
        <v>9.9</v>
      </c>
      <c r="R122" s="5">
        <v>8</v>
      </c>
      <c r="S122" s="5" t="s">
        <v>347</v>
      </c>
      <c r="T122" s="5">
        <v>9.8000000000000007</v>
      </c>
      <c r="U122" s="5" t="s">
        <v>36</v>
      </c>
      <c r="V122" s="5" t="s">
        <v>46</v>
      </c>
      <c r="W122" s="5">
        <v>1</v>
      </c>
      <c r="X122" s="5" t="s">
        <v>38</v>
      </c>
      <c r="Y122" s="5">
        <v>120</v>
      </c>
      <c r="Z122" s="5">
        <v>7.8</v>
      </c>
      <c r="AA122" s="5" t="s">
        <v>529</v>
      </c>
      <c r="AB122" s="5" t="s">
        <v>530</v>
      </c>
      <c r="AC122" s="5" t="s">
        <v>531</v>
      </c>
      <c r="AD122" s="5"/>
      <c r="AF122" s="15" t="s">
        <v>518</v>
      </c>
      <c r="AG122" s="15" t="s">
        <v>528</v>
      </c>
      <c r="AH122">
        <f t="shared" si="76"/>
        <v>0</v>
      </c>
      <c r="AI122">
        <f t="shared" si="46"/>
        <v>99</v>
      </c>
      <c r="AJ122" s="12">
        <f t="shared" si="47"/>
        <v>99.4</v>
      </c>
      <c r="AK122">
        <f t="shared" si="48"/>
        <v>92</v>
      </c>
      <c r="AL122">
        <f t="shared" si="49"/>
        <v>0</v>
      </c>
      <c r="AM122">
        <f t="shared" si="50"/>
        <v>70</v>
      </c>
      <c r="AN122">
        <f t="shared" si="44"/>
        <v>99.995199990399982</v>
      </c>
      <c r="AO122">
        <f t="shared" si="51"/>
        <v>78</v>
      </c>
      <c r="AP122">
        <f t="shared" si="52"/>
        <v>61.519855999711993</v>
      </c>
      <c r="AQ122">
        <f t="shared" si="78"/>
        <v>8</v>
      </c>
      <c r="AR122" t="str">
        <f t="shared" si="53"/>
        <v>YEAST-003</v>
      </c>
      <c r="AS122" s="15" t="s">
        <v>518</v>
      </c>
      <c r="AT122" s="15" t="s">
        <v>528</v>
      </c>
      <c r="AU122">
        <f t="shared" si="77"/>
        <v>0</v>
      </c>
      <c r="AV122">
        <f t="shared" si="54"/>
        <v>0</v>
      </c>
      <c r="AW122">
        <f t="shared" si="55"/>
        <v>92</v>
      </c>
      <c r="AX122">
        <f t="shared" si="56"/>
        <v>99</v>
      </c>
      <c r="AY122">
        <f t="shared" si="45"/>
        <v>99.995199990399982</v>
      </c>
      <c r="AZ122">
        <f t="shared" si="57"/>
        <v>70</v>
      </c>
      <c r="BA122">
        <f t="shared" si="58"/>
        <v>41.749759999520002</v>
      </c>
      <c r="BB122">
        <f t="shared" si="79"/>
        <v>8</v>
      </c>
      <c r="BC122" t="str">
        <f t="shared" si="59"/>
        <v>YEAST-003</v>
      </c>
    </row>
    <row r="123" spans="2:55" ht="39.6" x14ac:dyDescent="0.3">
      <c r="B123" s="5" t="s">
        <v>29</v>
      </c>
      <c r="C123" s="15" t="s">
        <v>518</v>
      </c>
      <c r="D123" s="5" t="s">
        <v>532</v>
      </c>
      <c r="E123" s="5" t="s">
        <v>533</v>
      </c>
      <c r="F123" s="5" t="s">
        <v>72</v>
      </c>
      <c r="G123" s="5">
        <v>20</v>
      </c>
      <c r="H123" s="5">
        <v>280</v>
      </c>
      <c r="I123" s="5">
        <v>200</v>
      </c>
      <c r="J123" s="5">
        <v>56000</v>
      </c>
      <c r="K123" s="5">
        <v>5</v>
      </c>
      <c r="L123" s="5">
        <v>2</v>
      </c>
      <c r="M123" s="5">
        <v>0.4</v>
      </c>
      <c r="N123" s="5">
        <v>96</v>
      </c>
      <c r="O123" s="5">
        <v>45</v>
      </c>
      <c r="P123" s="5" t="s">
        <v>320</v>
      </c>
      <c r="Q123" s="5">
        <v>8</v>
      </c>
      <c r="R123" s="5">
        <v>9.3000000000000007</v>
      </c>
      <c r="S123" s="5" t="s">
        <v>67</v>
      </c>
      <c r="T123" s="5">
        <v>7.5</v>
      </c>
      <c r="U123" s="5" t="s">
        <v>81</v>
      </c>
      <c r="V123" s="5" t="s">
        <v>54</v>
      </c>
      <c r="W123" s="5">
        <v>3</v>
      </c>
      <c r="X123" s="5" t="s">
        <v>38</v>
      </c>
      <c r="Y123" s="5">
        <v>30</v>
      </c>
      <c r="Z123" s="5">
        <v>8</v>
      </c>
      <c r="AA123" s="5" t="s">
        <v>534</v>
      </c>
      <c r="AB123" s="5" t="s">
        <v>535</v>
      </c>
      <c r="AC123" s="5" t="s">
        <v>536</v>
      </c>
      <c r="AD123" s="5"/>
      <c r="AF123" s="15" t="s">
        <v>518</v>
      </c>
      <c r="AG123" s="15" t="s">
        <v>533</v>
      </c>
      <c r="AH123">
        <f t="shared" si="76"/>
        <v>86.956521739130437</v>
      </c>
      <c r="AI123">
        <f t="shared" si="46"/>
        <v>80</v>
      </c>
      <c r="AJ123" s="12">
        <f t="shared" si="47"/>
        <v>92</v>
      </c>
      <c r="AK123">
        <f t="shared" si="48"/>
        <v>96</v>
      </c>
      <c r="AL123">
        <f t="shared" si="49"/>
        <v>75</v>
      </c>
      <c r="AM123">
        <f t="shared" si="50"/>
        <v>96</v>
      </c>
      <c r="AN123">
        <f t="shared" si="44"/>
        <v>99.960199920399845</v>
      </c>
      <c r="AO123">
        <f t="shared" si="51"/>
        <v>80</v>
      </c>
      <c r="AP123">
        <f t="shared" si="52"/>
        <v>86.837936432394599</v>
      </c>
      <c r="AQ123">
        <f t="shared" si="78"/>
        <v>1</v>
      </c>
      <c r="AR123" t="str">
        <f t="shared" si="53"/>
        <v>YEAST-004</v>
      </c>
      <c r="AS123" s="15" t="s">
        <v>518</v>
      </c>
      <c r="AT123" s="15" t="s">
        <v>533</v>
      </c>
      <c r="AU123">
        <f t="shared" si="77"/>
        <v>86.956521739130437</v>
      </c>
      <c r="AV123">
        <f t="shared" si="54"/>
        <v>75</v>
      </c>
      <c r="AW123">
        <f t="shared" si="55"/>
        <v>96</v>
      </c>
      <c r="AX123">
        <f t="shared" si="56"/>
        <v>80</v>
      </c>
      <c r="AY123">
        <f t="shared" si="45"/>
        <v>99.960199920399845</v>
      </c>
      <c r="AZ123">
        <f t="shared" si="57"/>
        <v>96</v>
      </c>
      <c r="BA123">
        <f t="shared" si="58"/>
        <v>85.834966517759113</v>
      </c>
      <c r="BB123">
        <f t="shared" si="79"/>
        <v>1</v>
      </c>
      <c r="BC123" t="str">
        <f t="shared" si="59"/>
        <v>YEAST-004</v>
      </c>
    </row>
    <row r="124" spans="2:55" ht="39.6" x14ac:dyDescent="0.3">
      <c r="B124" s="5" t="s">
        <v>29</v>
      </c>
      <c r="C124" s="15" t="s">
        <v>518</v>
      </c>
      <c r="D124" s="5" t="s">
        <v>537</v>
      </c>
      <c r="E124" s="5" t="s">
        <v>538</v>
      </c>
      <c r="F124" s="5" t="s">
        <v>84</v>
      </c>
      <c r="G124" s="5">
        <v>150</v>
      </c>
      <c r="H124" s="5">
        <v>420</v>
      </c>
      <c r="I124" s="5">
        <v>75</v>
      </c>
      <c r="J124" s="5">
        <v>31500</v>
      </c>
      <c r="K124" s="5">
        <v>10</v>
      </c>
      <c r="L124" s="5">
        <v>5</v>
      </c>
      <c r="M124" s="5">
        <v>0.1</v>
      </c>
      <c r="N124" s="5">
        <v>95</v>
      </c>
      <c r="O124" s="5">
        <v>45</v>
      </c>
      <c r="P124" s="5" t="s">
        <v>353</v>
      </c>
      <c r="Q124" s="5">
        <v>9.1999999999999993</v>
      </c>
      <c r="R124" s="5">
        <v>8.8000000000000007</v>
      </c>
      <c r="S124" s="5" t="s">
        <v>404</v>
      </c>
      <c r="T124" s="5">
        <v>9.1999999999999993</v>
      </c>
      <c r="U124" s="5" t="s">
        <v>36</v>
      </c>
      <c r="V124" s="5" t="s">
        <v>37</v>
      </c>
      <c r="W124" s="5">
        <v>2</v>
      </c>
      <c r="X124" s="5" t="s">
        <v>38</v>
      </c>
      <c r="Y124" s="5">
        <v>75</v>
      </c>
      <c r="Z124" s="5">
        <v>8.8000000000000007</v>
      </c>
      <c r="AA124" s="5" t="s">
        <v>75</v>
      </c>
      <c r="AB124" s="5" t="s">
        <v>539</v>
      </c>
      <c r="AC124" s="5" t="s">
        <v>283</v>
      </c>
      <c r="AD124" s="5"/>
      <c r="AF124" s="15" t="s">
        <v>518</v>
      </c>
      <c r="AG124" s="15" t="s">
        <v>538</v>
      </c>
      <c r="AH124">
        <f t="shared" si="76"/>
        <v>26.08695652173914</v>
      </c>
      <c r="AI124">
        <f t="shared" si="46"/>
        <v>92</v>
      </c>
      <c r="AJ124" s="12">
        <f t="shared" si="47"/>
        <v>98</v>
      </c>
      <c r="AK124">
        <f t="shared" si="48"/>
        <v>95</v>
      </c>
      <c r="AL124">
        <f t="shared" si="49"/>
        <v>50</v>
      </c>
      <c r="AM124">
        <f t="shared" si="50"/>
        <v>70</v>
      </c>
      <c r="AN124">
        <f t="shared" si="44"/>
        <v>99.985199970399947</v>
      </c>
      <c r="AO124">
        <f t="shared" si="51"/>
        <v>88</v>
      </c>
      <c r="AP124">
        <f t="shared" si="52"/>
        <v>71.731295129546794</v>
      </c>
      <c r="AQ124">
        <f t="shared" si="78"/>
        <v>6</v>
      </c>
      <c r="AR124" t="str">
        <f t="shared" si="53"/>
        <v>YEAST-005</v>
      </c>
      <c r="AS124" s="15" t="s">
        <v>518</v>
      </c>
      <c r="AT124" s="15" t="s">
        <v>538</v>
      </c>
      <c r="AU124">
        <f t="shared" si="77"/>
        <v>26.08695652173914</v>
      </c>
      <c r="AV124">
        <f t="shared" si="54"/>
        <v>50</v>
      </c>
      <c r="AW124">
        <f t="shared" si="55"/>
        <v>95</v>
      </c>
      <c r="AX124">
        <f t="shared" si="56"/>
        <v>92</v>
      </c>
      <c r="AY124">
        <f t="shared" si="45"/>
        <v>99.985199970399947</v>
      </c>
      <c r="AZ124">
        <f t="shared" si="57"/>
        <v>70</v>
      </c>
      <c r="BA124">
        <f t="shared" si="58"/>
        <v>61.625346955041735</v>
      </c>
      <c r="BB124">
        <f t="shared" si="79"/>
        <v>6</v>
      </c>
      <c r="BC124" t="str">
        <f t="shared" si="59"/>
        <v>YEAST-005</v>
      </c>
    </row>
    <row r="125" spans="2:55" ht="39.6" x14ac:dyDescent="0.3">
      <c r="B125" s="5" t="s">
        <v>29</v>
      </c>
      <c r="C125" s="15" t="s">
        <v>518</v>
      </c>
      <c r="D125" s="5" t="s">
        <v>540</v>
      </c>
      <c r="E125" s="5" t="s">
        <v>541</v>
      </c>
      <c r="F125" s="5" t="s">
        <v>59</v>
      </c>
      <c r="G125" s="5">
        <v>200</v>
      </c>
      <c r="H125" s="5">
        <v>380</v>
      </c>
      <c r="I125" s="5">
        <v>50</v>
      </c>
      <c r="J125" s="5">
        <v>19000</v>
      </c>
      <c r="K125" s="5">
        <v>7</v>
      </c>
      <c r="L125" s="5">
        <v>3</v>
      </c>
      <c r="M125" s="5">
        <v>0.15</v>
      </c>
      <c r="N125" s="5">
        <v>96</v>
      </c>
      <c r="O125" s="5">
        <v>30</v>
      </c>
      <c r="P125" s="5" t="s">
        <v>314</v>
      </c>
      <c r="Q125" s="5">
        <v>8.8000000000000007</v>
      </c>
      <c r="R125" s="5">
        <v>9</v>
      </c>
      <c r="S125" s="5" t="s">
        <v>62</v>
      </c>
      <c r="T125" s="5">
        <v>9.5</v>
      </c>
      <c r="U125" s="5" t="s">
        <v>53</v>
      </c>
      <c r="V125" s="5" t="s">
        <v>54</v>
      </c>
      <c r="W125" s="5">
        <v>1</v>
      </c>
      <c r="X125" s="5" t="s">
        <v>38</v>
      </c>
      <c r="Y125" s="5">
        <v>45</v>
      </c>
      <c r="Z125" s="5">
        <v>8.5</v>
      </c>
      <c r="AA125" s="5" t="s">
        <v>525</v>
      </c>
      <c r="AB125" s="5" t="s">
        <v>542</v>
      </c>
      <c r="AC125" s="5" t="s">
        <v>316</v>
      </c>
      <c r="AD125" s="5"/>
      <c r="AF125" s="15" t="s">
        <v>518</v>
      </c>
      <c r="AG125" s="15" t="s">
        <v>541</v>
      </c>
      <c r="AH125">
        <f t="shared" si="76"/>
        <v>43.478260869565219</v>
      </c>
      <c r="AI125">
        <f t="shared" si="46"/>
        <v>88</v>
      </c>
      <c r="AJ125" s="12">
        <f t="shared" si="47"/>
        <v>97</v>
      </c>
      <c r="AK125">
        <f t="shared" si="48"/>
        <v>96</v>
      </c>
      <c r="AL125">
        <f t="shared" si="49"/>
        <v>65</v>
      </c>
      <c r="AM125">
        <f t="shared" si="50"/>
        <v>60</v>
      </c>
      <c r="AN125">
        <f t="shared" si="44"/>
        <v>99.990199980399964</v>
      </c>
      <c r="AO125">
        <f t="shared" si="51"/>
        <v>85</v>
      </c>
      <c r="AP125">
        <f t="shared" si="52"/>
        <v>76.019271216803304</v>
      </c>
      <c r="AQ125">
        <f t="shared" si="78"/>
        <v>5</v>
      </c>
      <c r="AR125" t="str">
        <f t="shared" si="53"/>
        <v>YEAST-006</v>
      </c>
      <c r="AS125" s="15" t="s">
        <v>518</v>
      </c>
      <c r="AT125" s="15" t="s">
        <v>541</v>
      </c>
      <c r="AU125">
        <f t="shared" si="77"/>
        <v>43.478260869565219</v>
      </c>
      <c r="AV125">
        <f t="shared" si="54"/>
        <v>65</v>
      </c>
      <c r="AW125">
        <f t="shared" si="55"/>
        <v>96</v>
      </c>
      <c r="AX125">
        <f t="shared" si="56"/>
        <v>88</v>
      </c>
      <c r="AY125">
        <f t="shared" si="45"/>
        <v>99.990199980399964</v>
      </c>
      <c r="AZ125">
        <f t="shared" si="57"/>
        <v>60</v>
      </c>
      <c r="BA125">
        <f t="shared" si="58"/>
        <v>69.692988259889574</v>
      </c>
      <c r="BB125">
        <f t="shared" si="79"/>
        <v>5</v>
      </c>
      <c r="BC125" t="str">
        <f t="shared" si="59"/>
        <v>YEAST-006</v>
      </c>
    </row>
    <row r="126" spans="2:55" ht="39.6" x14ac:dyDescent="0.3">
      <c r="B126" s="5" t="s">
        <v>29</v>
      </c>
      <c r="C126" s="15" t="s">
        <v>518</v>
      </c>
      <c r="D126" s="5" t="s">
        <v>543</v>
      </c>
      <c r="E126" s="5" t="s">
        <v>544</v>
      </c>
      <c r="F126" s="5" t="s">
        <v>78</v>
      </c>
      <c r="G126" s="5">
        <v>1400</v>
      </c>
      <c r="H126" s="5">
        <v>250</v>
      </c>
      <c r="I126" s="5">
        <v>500</v>
      </c>
      <c r="J126" s="5">
        <v>125000</v>
      </c>
      <c r="K126" s="5">
        <v>14</v>
      </c>
      <c r="L126" s="5">
        <v>7</v>
      </c>
      <c r="M126" s="5">
        <v>0.6</v>
      </c>
      <c r="N126" s="5">
        <v>88</v>
      </c>
      <c r="O126" s="5">
        <v>90</v>
      </c>
      <c r="P126" s="5" t="s">
        <v>327</v>
      </c>
      <c r="Q126" s="5">
        <v>7</v>
      </c>
      <c r="R126" s="5">
        <v>7.8</v>
      </c>
      <c r="S126" s="5" t="s">
        <v>54</v>
      </c>
      <c r="T126" s="5">
        <v>6.5</v>
      </c>
      <c r="U126" s="5" t="s">
        <v>174</v>
      </c>
      <c r="V126" s="5" t="s">
        <v>54</v>
      </c>
      <c r="W126" s="5">
        <v>3</v>
      </c>
      <c r="X126" s="5" t="s">
        <v>68</v>
      </c>
      <c r="Y126" s="5">
        <v>20</v>
      </c>
      <c r="Z126" s="5">
        <v>6.5</v>
      </c>
      <c r="AA126" s="5" t="s">
        <v>545</v>
      </c>
      <c r="AB126" s="5" t="s">
        <v>546</v>
      </c>
      <c r="AC126" s="5" t="s">
        <v>270</v>
      </c>
      <c r="AD126" s="5"/>
      <c r="AF126" s="15" t="s">
        <v>518</v>
      </c>
      <c r="AG126" s="15" t="s">
        <v>544</v>
      </c>
      <c r="AH126">
        <f t="shared" si="76"/>
        <v>100</v>
      </c>
      <c r="AI126">
        <f t="shared" si="46"/>
        <v>70</v>
      </c>
      <c r="AJ126" s="12">
        <f t="shared" si="47"/>
        <v>88</v>
      </c>
      <c r="AK126">
        <f t="shared" si="48"/>
        <v>88</v>
      </c>
      <c r="AL126">
        <f t="shared" si="49"/>
        <v>30</v>
      </c>
      <c r="AM126">
        <f t="shared" si="50"/>
        <v>0</v>
      </c>
      <c r="AN126">
        <f t="shared" si="44"/>
        <v>99.900199800399605</v>
      </c>
      <c r="AO126">
        <f t="shared" si="51"/>
        <v>65</v>
      </c>
      <c r="AP126">
        <f t="shared" si="52"/>
        <v>76.197005994011988</v>
      </c>
      <c r="AQ126">
        <f t="shared" si="78"/>
        <v>4</v>
      </c>
      <c r="AR126" t="str">
        <f t="shared" si="53"/>
        <v>YEAST-007</v>
      </c>
      <c r="AS126" s="15" t="s">
        <v>518</v>
      </c>
      <c r="AT126" s="15" t="s">
        <v>544</v>
      </c>
      <c r="AU126">
        <f t="shared" si="77"/>
        <v>100</v>
      </c>
      <c r="AV126">
        <f t="shared" si="54"/>
        <v>30</v>
      </c>
      <c r="AW126">
        <f t="shared" si="55"/>
        <v>88</v>
      </c>
      <c r="AX126">
        <f t="shared" si="56"/>
        <v>70</v>
      </c>
      <c r="AY126">
        <f t="shared" si="45"/>
        <v>99.900199800399605</v>
      </c>
      <c r="AZ126">
        <f t="shared" si="57"/>
        <v>0</v>
      </c>
      <c r="BA126">
        <f t="shared" si="58"/>
        <v>70.595009990019975</v>
      </c>
      <c r="BB126">
        <f t="shared" si="79"/>
        <v>4</v>
      </c>
      <c r="BC126" t="str">
        <f t="shared" si="59"/>
        <v>YEAST-007</v>
      </c>
    </row>
    <row r="127" spans="2:55" ht="39.6" x14ac:dyDescent="0.3">
      <c r="B127" s="5" t="s">
        <v>29</v>
      </c>
      <c r="C127" s="15" t="s">
        <v>518</v>
      </c>
      <c r="D127" s="5" t="s">
        <v>547</v>
      </c>
      <c r="E127" s="5" t="s">
        <v>548</v>
      </c>
      <c r="F127" s="5" t="s">
        <v>72</v>
      </c>
      <c r="G127" s="5">
        <v>15</v>
      </c>
      <c r="H127" s="5">
        <v>350</v>
      </c>
      <c r="I127" s="5">
        <v>100</v>
      </c>
      <c r="J127" s="5">
        <v>35000</v>
      </c>
      <c r="K127" s="5">
        <v>3</v>
      </c>
      <c r="L127" s="5">
        <v>1</v>
      </c>
      <c r="M127" s="5">
        <v>0.2</v>
      </c>
      <c r="N127" s="5">
        <v>98</v>
      </c>
      <c r="O127" s="5">
        <v>30</v>
      </c>
      <c r="P127" s="5" t="s">
        <v>549</v>
      </c>
      <c r="Q127" s="5">
        <v>8.3000000000000007</v>
      </c>
      <c r="R127" s="5">
        <v>9.5</v>
      </c>
      <c r="S127" s="5" t="s">
        <v>67</v>
      </c>
      <c r="T127" s="5">
        <v>8.3000000000000007</v>
      </c>
      <c r="U127" s="5" t="s">
        <v>53</v>
      </c>
      <c r="V127" s="5" t="s">
        <v>54</v>
      </c>
      <c r="W127" s="5">
        <v>1</v>
      </c>
      <c r="X127" s="5" t="s">
        <v>38</v>
      </c>
      <c r="Y127" s="5">
        <v>40</v>
      </c>
      <c r="Z127" s="5">
        <v>9.1999999999999993</v>
      </c>
      <c r="AA127" s="5" t="s">
        <v>550</v>
      </c>
      <c r="AB127" s="5" t="s">
        <v>551</v>
      </c>
      <c r="AC127" s="5" t="s">
        <v>303</v>
      </c>
      <c r="AD127" s="5"/>
      <c r="AF127" s="15" t="s">
        <v>518</v>
      </c>
      <c r="AG127" s="15" t="s">
        <v>548</v>
      </c>
      <c r="AH127">
        <f t="shared" si="76"/>
        <v>56.521739130434781</v>
      </c>
      <c r="AI127">
        <f t="shared" si="46"/>
        <v>83</v>
      </c>
      <c r="AJ127" s="12">
        <f t="shared" si="47"/>
        <v>96</v>
      </c>
      <c r="AK127">
        <f t="shared" si="48"/>
        <v>98</v>
      </c>
      <c r="AL127">
        <f t="shared" si="49"/>
        <v>85</v>
      </c>
      <c r="AM127">
        <f t="shared" si="50"/>
        <v>97</v>
      </c>
      <c r="AN127">
        <f t="shared" si="44"/>
        <v>99.980199960399915</v>
      </c>
      <c r="AO127">
        <f t="shared" si="51"/>
        <v>92</v>
      </c>
      <c r="AP127">
        <f t="shared" si="52"/>
        <v>82.169840781420689</v>
      </c>
      <c r="AQ127">
        <f t="shared" si="78"/>
        <v>3</v>
      </c>
      <c r="AR127" t="str">
        <f t="shared" si="53"/>
        <v>YEAST-008</v>
      </c>
      <c r="AS127" s="15" t="s">
        <v>518</v>
      </c>
      <c r="AT127" s="15" t="s">
        <v>548</v>
      </c>
      <c r="AU127">
        <f t="shared" si="77"/>
        <v>56.521739130434781</v>
      </c>
      <c r="AV127">
        <f t="shared" si="54"/>
        <v>85</v>
      </c>
      <c r="AW127">
        <f t="shared" si="55"/>
        <v>98</v>
      </c>
      <c r="AX127">
        <f t="shared" si="56"/>
        <v>83</v>
      </c>
      <c r="AY127">
        <f t="shared" si="45"/>
        <v>99.980199960399915</v>
      </c>
      <c r="AZ127">
        <f t="shared" si="57"/>
        <v>97</v>
      </c>
      <c r="BA127">
        <f t="shared" si="58"/>
        <v>80.105531737150429</v>
      </c>
      <c r="BB127">
        <f t="shared" si="79"/>
        <v>2</v>
      </c>
      <c r="BC127" t="str">
        <f t="shared" si="59"/>
        <v>YEAST-008</v>
      </c>
    </row>
    <row r="128" spans="2:55" ht="39.6" x14ac:dyDescent="0.3">
      <c r="B128" s="5" t="s">
        <v>29</v>
      </c>
      <c r="C128" s="15" t="s">
        <v>552</v>
      </c>
      <c r="D128" s="5" t="s">
        <v>553</v>
      </c>
      <c r="E128" s="5" t="s">
        <v>554</v>
      </c>
      <c r="F128" s="5" t="s">
        <v>164</v>
      </c>
      <c r="G128" s="5">
        <v>240</v>
      </c>
      <c r="H128" s="5">
        <v>110</v>
      </c>
      <c r="I128" s="5">
        <v>500</v>
      </c>
      <c r="J128" s="5">
        <v>55000</v>
      </c>
      <c r="K128" s="5">
        <v>3</v>
      </c>
      <c r="L128" s="5">
        <v>1</v>
      </c>
      <c r="M128" s="5">
        <v>1</v>
      </c>
      <c r="N128" s="5">
        <v>96</v>
      </c>
      <c r="O128" s="5">
        <v>30</v>
      </c>
      <c r="P128" s="5" t="s">
        <v>34</v>
      </c>
      <c r="Q128" s="5">
        <v>7.5</v>
      </c>
      <c r="R128" s="5">
        <v>9.3000000000000007</v>
      </c>
      <c r="S128" s="5" t="s">
        <v>67</v>
      </c>
      <c r="T128" s="5">
        <v>7.8</v>
      </c>
      <c r="U128" s="5" t="s">
        <v>53</v>
      </c>
      <c r="V128" s="5" t="s">
        <v>54</v>
      </c>
      <c r="W128" s="5">
        <v>1</v>
      </c>
      <c r="X128" s="5" t="s">
        <v>38</v>
      </c>
      <c r="Y128" s="5">
        <v>20</v>
      </c>
      <c r="Z128" s="5">
        <v>8.5</v>
      </c>
      <c r="AA128" s="5" t="s">
        <v>555</v>
      </c>
      <c r="AB128" s="5" t="s">
        <v>556</v>
      </c>
      <c r="AC128" s="5" t="s">
        <v>557</v>
      </c>
      <c r="AD128" s="5"/>
      <c r="AF128" s="15" t="s">
        <v>552</v>
      </c>
      <c r="AG128" s="15" t="s">
        <v>554</v>
      </c>
      <c r="AH128">
        <f t="shared" ref="AH128:AH137" si="80">100-((H128-MIN($H$128:$H$137))/(MAX($H$128:$H$137)-MIN($H$128:$H$137))*100)</f>
        <v>75</v>
      </c>
      <c r="AI128">
        <f t="shared" si="46"/>
        <v>75</v>
      </c>
      <c r="AJ128" s="12">
        <f t="shared" si="47"/>
        <v>80</v>
      </c>
      <c r="AK128">
        <f t="shared" si="48"/>
        <v>96</v>
      </c>
      <c r="AL128">
        <f t="shared" si="49"/>
        <v>85</v>
      </c>
      <c r="AM128">
        <f t="shared" si="50"/>
        <v>52</v>
      </c>
      <c r="AN128">
        <f t="shared" si="44"/>
        <v>99.900199800399605</v>
      </c>
      <c r="AO128">
        <f t="shared" si="51"/>
        <v>85</v>
      </c>
      <c r="AP128">
        <f t="shared" si="52"/>
        <v>79.697005994011988</v>
      </c>
      <c r="AQ128">
        <f>RANK(AP128, $AP$128:$AP$137, 0)</f>
        <v>4</v>
      </c>
      <c r="AR128" t="str">
        <f t="shared" si="53"/>
        <v>PEAN-001</v>
      </c>
      <c r="AS128" s="15" t="s">
        <v>552</v>
      </c>
      <c r="AT128" s="15" t="s">
        <v>554</v>
      </c>
      <c r="AU128">
        <f t="shared" ref="AU128:AU137" si="81">100-((H128-MIN($H$128:$H$137))/(MAX($H$128:$H$137)-MIN($H$128:$H$137))*100)</f>
        <v>75</v>
      </c>
      <c r="AV128">
        <f t="shared" si="54"/>
        <v>85</v>
      </c>
      <c r="AW128">
        <f t="shared" si="55"/>
        <v>96</v>
      </c>
      <c r="AX128">
        <f t="shared" si="56"/>
        <v>75</v>
      </c>
      <c r="AY128">
        <f t="shared" si="45"/>
        <v>99.900199800399605</v>
      </c>
      <c r="AZ128">
        <f t="shared" si="57"/>
        <v>52</v>
      </c>
      <c r="BA128">
        <f t="shared" si="58"/>
        <v>81.795009990019977</v>
      </c>
      <c r="BB128">
        <f>RANK(BA128, $BA$128:$BA$137, 0)</f>
        <v>3</v>
      </c>
      <c r="BC128" t="str">
        <f t="shared" si="59"/>
        <v>PEAN-001</v>
      </c>
    </row>
    <row r="129" spans="2:55" ht="39.6" x14ac:dyDescent="0.3">
      <c r="B129" s="5" t="s">
        <v>29</v>
      </c>
      <c r="C129" s="15" t="s">
        <v>552</v>
      </c>
      <c r="D129" s="5" t="s">
        <v>558</v>
      </c>
      <c r="E129" s="5" t="s">
        <v>559</v>
      </c>
      <c r="F129" s="5" t="s">
        <v>178</v>
      </c>
      <c r="G129" s="5">
        <v>110</v>
      </c>
      <c r="H129" s="5">
        <v>105</v>
      </c>
      <c r="I129" s="5">
        <v>1000</v>
      </c>
      <c r="J129" s="5">
        <v>105000</v>
      </c>
      <c r="K129" s="5">
        <v>2</v>
      </c>
      <c r="L129" s="5">
        <v>1</v>
      </c>
      <c r="M129" s="5">
        <v>1.2</v>
      </c>
      <c r="N129" s="5">
        <v>95</v>
      </c>
      <c r="O129" s="5">
        <v>45</v>
      </c>
      <c r="P129" s="5" t="s">
        <v>130</v>
      </c>
      <c r="Q129" s="5">
        <v>7</v>
      </c>
      <c r="R129" s="5">
        <v>9</v>
      </c>
      <c r="S129" s="5" t="s">
        <v>74</v>
      </c>
      <c r="T129" s="5">
        <v>8</v>
      </c>
      <c r="U129" s="5" t="s">
        <v>53</v>
      </c>
      <c r="V129" s="5" t="s">
        <v>46</v>
      </c>
      <c r="W129" s="5">
        <v>2</v>
      </c>
      <c r="X129" s="5" t="s">
        <v>38</v>
      </c>
      <c r="Y129" s="5">
        <v>25</v>
      </c>
      <c r="Z129" s="5">
        <v>8</v>
      </c>
      <c r="AA129" s="5" t="s">
        <v>560</v>
      </c>
      <c r="AB129" s="5" t="s">
        <v>561</v>
      </c>
      <c r="AC129" s="5" t="s">
        <v>562</v>
      </c>
      <c r="AD129" s="5"/>
      <c r="AF129" s="15" t="s">
        <v>552</v>
      </c>
      <c r="AG129" s="15" t="s">
        <v>559</v>
      </c>
      <c r="AH129">
        <f t="shared" si="80"/>
        <v>83.333333333333343</v>
      </c>
      <c r="AI129">
        <f t="shared" si="46"/>
        <v>70</v>
      </c>
      <c r="AJ129" s="12">
        <f t="shared" si="47"/>
        <v>76</v>
      </c>
      <c r="AK129">
        <f t="shared" si="48"/>
        <v>95</v>
      </c>
      <c r="AL129">
        <f t="shared" si="49"/>
        <v>90</v>
      </c>
      <c r="AM129">
        <f t="shared" si="50"/>
        <v>78</v>
      </c>
      <c r="AN129">
        <f t="shared" si="44"/>
        <v>99.800199600399196</v>
      </c>
      <c r="AO129">
        <f t="shared" si="51"/>
        <v>80</v>
      </c>
      <c r="AP129">
        <f t="shared" si="52"/>
        <v>81.477339321345312</v>
      </c>
      <c r="AQ129">
        <f t="shared" ref="AQ129:AQ137" si="82">RANK(AP129, $AP$128:$AP$137, 0)</f>
        <v>2</v>
      </c>
      <c r="AR129" t="str">
        <f t="shared" si="53"/>
        <v>PEAN-002</v>
      </c>
      <c r="AS129" s="15" t="s">
        <v>552</v>
      </c>
      <c r="AT129" s="15" t="s">
        <v>559</v>
      </c>
      <c r="AU129">
        <f t="shared" si="81"/>
        <v>83.333333333333343</v>
      </c>
      <c r="AV129">
        <f t="shared" si="54"/>
        <v>90</v>
      </c>
      <c r="AW129">
        <f t="shared" si="55"/>
        <v>95</v>
      </c>
      <c r="AX129">
        <f t="shared" si="56"/>
        <v>70</v>
      </c>
      <c r="AY129">
        <f t="shared" si="45"/>
        <v>99.800199600399196</v>
      </c>
      <c r="AZ129">
        <f t="shared" si="57"/>
        <v>78</v>
      </c>
      <c r="BA129">
        <f t="shared" si="58"/>
        <v>85.890009980019968</v>
      </c>
      <c r="BB129">
        <f t="shared" ref="BB129:BB137" si="83">RANK(BA129, $BA$128:$BA$137, 0)</f>
        <v>1</v>
      </c>
      <c r="BC129" t="str">
        <f t="shared" si="59"/>
        <v>PEAN-002</v>
      </c>
    </row>
    <row r="130" spans="2:55" ht="39.6" x14ac:dyDescent="0.3">
      <c r="B130" s="5" t="s">
        <v>29</v>
      </c>
      <c r="C130" s="15" t="s">
        <v>552</v>
      </c>
      <c r="D130" s="5" t="s">
        <v>563</v>
      </c>
      <c r="E130" s="5" t="s">
        <v>564</v>
      </c>
      <c r="F130" s="5" t="s">
        <v>50</v>
      </c>
      <c r="G130" s="5">
        <v>150</v>
      </c>
      <c r="H130" s="5">
        <v>100</v>
      </c>
      <c r="I130" s="5">
        <v>2000</v>
      </c>
      <c r="J130" s="5">
        <v>200000</v>
      </c>
      <c r="K130" s="5">
        <v>5</v>
      </c>
      <c r="L130" s="5">
        <v>2</v>
      </c>
      <c r="M130" s="5">
        <v>1.5</v>
      </c>
      <c r="N130" s="5">
        <v>93</v>
      </c>
      <c r="O130" s="5">
        <v>60</v>
      </c>
      <c r="P130" s="5" t="s">
        <v>51</v>
      </c>
      <c r="Q130" s="5">
        <v>6.8</v>
      </c>
      <c r="R130" s="5">
        <v>8.5</v>
      </c>
      <c r="S130" s="5" t="s">
        <v>67</v>
      </c>
      <c r="T130" s="5">
        <v>7</v>
      </c>
      <c r="U130" s="5" t="s">
        <v>81</v>
      </c>
      <c r="V130" s="5" t="s">
        <v>37</v>
      </c>
      <c r="W130" s="5">
        <v>3</v>
      </c>
      <c r="X130" s="5" t="s">
        <v>38</v>
      </c>
      <c r="Y130" s="5">
        <v>30</v>
      </c>
      <c r="Z130" s="5">
        <v>7.5</v>
      </c>
      <c r="AA130" s="5" t="s">
        <v>555</v>
      </c>
      <c r="AB130" s="5" t="s">
        <v>565</v>
      </c>
      <c r="AC130" s="5" t="s">
        <v>566</v>
      </c>
      <c r="AD130" s="5"/>
      <c r="AF130" s="15" t="s">
        <v>552</v>
      </c>
      <c r="AG130" s="15" t="s">
        <v>564</v>
      </c>
      <c r="AH130">
        <f t="shared" si="80"/>
        <v>91.666666666666671</v>
      </c>
      <c r="AI130">
        <f t="shared" si="46"/>
        <v>68</v>
      </c>
      <c r="AJ130" s="12">
        <f t="shared" si="47"/>
        <v>70</v>
      </c>
      <c r="AK130">
        <f t="shared" si="48"/>
        <v>93</v>
      </c>
      <c r="AL130">
        <f t="shared" si="49"/>
        <v>75</v>
      </c>
      <c r="AM130">
        <f t="shared" si="50"/>
        <v>70</v>
      </c>
      <c r="AN130">
        <f t="shared" si="44"/>
        <v>99.600199200398407</v>
      </c>
      <c r="AO130">
        <f t="shared" si="51"/>
        <v>75</v>
      </c>
      <c r="AP130">
        <f t="shared" si="52"/>
        <v>79.854672642678622</v>
      </c>
      <c r="AQ130">
        <f t="shared" si="82"/>
        <v>3</v>
      </c>
      <c r="AR130" t="str">
        <f t="shared" si="53"/>
        <v>PEAN-003</v>
      </c>
      <c r="AS130" s="15" t="s">
        <v>552</v>
      </c>
      <c r="AT130" s="15" t="s">
        <v>564</v>
      </c>
      <c r="AU130">
        <f t="shared" si="81"/>
        <v>91.666666666666671</v>
      </c>
      <c r="AV130">
        <f t="shared" si="54"/>
        <v>75</v>
      </c>
      <c r="AW130">
        <f t="shared" si="55"/>
        <v>93</v>
      </c>
      <c r="AX130">
        <f t="shared" si="56"/>
        <v>68</v>
      </c>
      <c r="AY130">
        <f t="shared" si="45"/>
        <v>99.600199200398407</v>
      </c>
      <c r="AZ130">
        <f t="shared" si="57"/>
        <v>70</v>
      </c>
      <c r="BA130">
        <f t="shared" si="58"/>
        <v>83.530009960019925</v>
      </c>
      <c r="BB130">
        <f t="shared" si="83"/>
        <v>2</v>
      </c>
      <c r="BC130" t="str">
        <f t="shared" si="59"/>
        <v>PEAN-003</v>
      </c>
    </row>
    <row r="131" spans="2:55" ht="39.6" x14ac:dyDescent="0.3">
      <c r="B131" s="5" t="s">
        <v>29</v>
      </c>
      <c r="C131" s="15" t="s">
        <v>552</v>
      </c>
      <c r="D131" s="5" t="s">
        <v>567</v>
      </c>
      <c r="E131" s="5" t="s">
        <v>568</v>
      </c>
      <c r="F131" s="5" t="s">
        <v>50</v>
      </c>
      <c r="G131" s="5">
        <v>150</v>
      </c>
      <c r="H131" s="5">
        <v>135</v>
      </c>
      <c r="I131" s="5">
        <v>300</v>
      </c>
      <c r="J131" s="5">
        <v>40500</v>
      </c>
      <c r="K131" s="5">
        <v>7</v>
      </c>
      <c r="L131" s="5">
        <v>3</v>
      </c>
      <c r="M131" s="5">
        <v>0.5</v>
      </c>
      <c r="N131" s="5">
        <v>94</v>
      </c>
      <c r="O131" s="5">
        <v>30</v>
      </c>
      <c r="P131" s="5" t="s">
        <v>60</v>
      </c>
      <c r="Q131" s="5">
        <v>9</v>
      </c>
      <c r="R131" s="5">
        <v>8.8000000000000007</v>
      </c>
      <c r="S131" s="5" t="s">
        <v>62</v>
      </c>
      <c r="T131" s="5">
        <v>9.5</v>
      </c>
      <c r="U131" s="5" t="s">
        <v>53</v>
      </c>
      <c r="V131" s="5" t="s">
        <v>54</v>
      </c>
      <c r="W131" s="5">
        <v>2</v>
      </c>
      <c r="X131" s="5" t="s">
        <v>38</v>
      </c>
      <c r="Y131" s="5">
        <v>15</v>
      </c>
      <c r="Z131" s="5">
        <v>8.8000000000000007</v>
      </c>
      <c r="AA131" s="5" t="s">
        <v>62</v>
      </c>
      <c r="AB131" s="5" t="s">
        <v>569</v>
      </c>
      <c r="AC131" s="5" t="s">
        <v>570</v>
      </c>
      <c r="AD131" s="5"/>
      <c r="AF131" s="15" t="s">
        <v>552</v>
      </c>
      <c r="AG131" s="15" t="s">
        <v>568</v>
      </c>
      <c r="AH131">
        <f t="shared" si="80"/>
        <v>33.333333333333343</v>
      </c>
      <c r="AI131">
        <f t="shared" si="46"/>
        <v>90</v>
      </c>
      <c r="AJ131" s="12">
        <f t="shared" si="47"/>
        <v>90</v>
      </c>
      <c r="AK131">
        <f t="shared" si="48"/>
        <v>94</v>
      </c>
      <c r="AL131">
        <f t="shared" si="49"/>
        <v>65</v>
      </c>
      <c r="AM131">
        <f t="shared" si="50"/>
        <v>70</v>
      </c>
      <c r="AN131">
        <f t="shared" si="44"/>
        <v>99.94019988039976</v>
      </c>
      <c r="AO131">
        <f t="shared" si="51"/>
        <v>88</v>
      </c>
      <c r="AP131">
        <f t="shared" si="52"/>
        <v>73.191539329745339</v>
      </c>
      <c r="AQ131">
        <f t="shared" si="82"/>
        <v>6</v>
      </c>
      <c r="AR131" t="str">
        <f t="shared" si="53"/>
        <v>PEAN-004</v>
      </c>
      <c r="AS131" s="15" t="s">
        <v>552</v>
      </c>
      <c r="AT131" s="15" t="s">
        <v>568</v>
      </c>
      <c r="AU131">
        <f t="shared" si="81"/>
        <v>33.333333333333343</v>
      </c>
      <c r="AV131">
        <f t="shared" si="54"/>
        <v>65</v>
      </c>
      <c r="AW131">
        <f t="shared" si="55"/>
        <v>94</v>
      </c>
      <c r="AX131">
        <f t="shared" si="56"/>
        <v>90</v>
      </c>
      <c r="AY131">
        <f t="shared" si="45"/>
        <v>99.94019988039976</v>
      </c>
      <c r="AZ131">
        <f t="shared" si="57"/>
        <v>70</v>
      </c>
      <c r="BA131">
        <f t="shared" si="58"/>
        <v>67.047009994019987</v>
      </c>
      <c r="BB131">
        <f t="shared" si="83"/>
        <v>8</v>
      </c>
      <c r="BC131" t="str">
        <f t="shared" si="59"/>
        <v>PEAN-004</v>
      </c>
    </row>
    <row r="132" spans="2:55" ht="39.6" x14ac:dyDescent="0.3">
      <c r="B132" s="5" t="s">
        <v>29</v>
      </c>
      <c r="C132" s="15" t="s">
        <v>552</v>
      </c>
      <c r="D132" s="5" t="s">
        <v>571</v>
      </c>
      <c r="E132" s="5" t="s">
        <v>572</v>
      </c>
      <c r="F132" s="5" t="s">
        <v>72</v>
      </c>
      <c r="G132" s="5">
        <v>20</v>
      </c>
      <c r="H132" s="5">
        <v>125</v>
      </c>
      <c r="I132" s="5">
        <v>200</v>
      </c>
      <c r="J132" s="5">
        <v>25000</v>
      </c>
      <c r="K132" s="5">
        <v>2</v>
      </c>
      <c r="L132" s="5">
        <v>1</v>
      </c>
      <c r="M132" s="5">
        <v>0.8</v>
      </c>
      <c r="N132" s="5">
        <v>97</v>
      </c>
      <c r="O132" s="5">
        <v>30</v>
      </c>
      <c r="P132" s="5" t="s">
        <v>73</v>
      </c>
      <c r="Q132" s="5">
        <v>8.1999999999999993</v>
      </c>
      <c r="R132" s="5">
        <v>9.5</v>
      </c>
      <c r="S132" s="5" t="s">
        <v>404</v>
      </c>
      <c r="T132" s="5">
        <v>8.1999999999999993</v>
      </c>
      <c r="U132" s="5" t="s">
        <v>53</v>
      </c>
      <c r="V132" s="5" t="s">
        <v>54</v>
      </c>
      <c r="W132" s="5">
        <v>1</v>
      </c>
      <c r="X132" s="5" t="s">
        <v>38</v>
      </c>
      <c r="Y132" s="5">
        <v>10</v>
      </c>
      <c r="Z132" s="5">
        <v>9</v>
      </c>
      <c r="AA132" s="5" t="s">
        <v>573</v>
      </c>
      <c r="AB132" s="5" t="s">
        <v>561</v>
      </c>
      <c r="AC132" s="5" t="s">
        <v>574</v>
      </c>
      <c r="AD132" s="5"/>
      <c r="AF132" s="15" t="s">
        <v>552</v>
      </c>
      <c r="AG132" s="15" t="s">
        <v>572</v>
      </c>
      <c r="AH132">
        <f t="shared" si="80"/>
        <v>50</v>
      </c>
      <c r="AI132">
        <f t="shared" si="46"/>
        <v>82</v>
      </c>
      <c r="AJ132" s="12">
        <f t="shared" si="47"/>
        <v>84</v>
      </c>
      <c r="AK132">
        <f t="shared" si="48"/>
        <v>97</v>
      </c>
      <c r="AL132">
        <f t="shared" si="49"/>
        <v>90</v>
      </c>
      <c r="AM132">
        <f t="shared" si="50"/>
        <v>96</v>
      </c>
      <c r="AN132">
        <f t="shared" si="44"/>
        <v>99.960199920399845</v>
      </c>
      <c r="AO132">
        <f t="shared" si="51"/>
        <v>90</v>
      </c>
      <c r="AP132">
        <f t="shared" si="52"/>
        <v>78.748805997611996</v>
      </c>
      <c r="AQ132">
        <f t="shared" si="82"/>
        <v>5</v>
      </c>
      <c r="AR132" t="str">
        <f t="shared" si="53"/>
        <v>PEAN-005</v>
      </c>
      <c r="AS132" s="15" t="s">
        <v>552</v>
      </c>
      <c r="AT132" s="15" t="s">
        <v>572</v>
      </c>
      <c r="AU132">
        <f t="shared" si="81"/>
        <v>50</v>
      </c>
      <c r="AV132">
        <f t="shared" si="54"/>
        <v>90</v>
      </c>
      <c r="AW132">
        <f t="shared" si="55"/>
        <v>97</v>
      </c>
      <c r="AX132">
        <f t="shared" si="56"/>
        <v>82</v>
      </c>
      <c r="AY132">
        <f t="shared" si="45"/>
        <v>99.960199920399845</v>
      </c>
      <c r="AZ132">
        <f t="shared" si="57"/>
        <v>96</v>
      </c>
      <c r="BA132">
        <f t="shared" si="58"/>
        <v>78.998009996019988</v>
      </c>
      <c r="BB132">
        <f t="shared" si="83"/>
        <v>5</v>
      </c>
      <c r="BC132" t="str">
        <f t="shared" si="59"/>
        <v>PEAN-005</v>
      </c>
    </row>
    <row r="133" spans="2:55" ht="39.6" x14ac:dyDescent="0.3">
      <c r="B133" s="5" t="s">
        <v>29</v>
      </c>
      <c r="C133" s="15" t="s">
        <v>552</v>
      </c>
      <c r="D133" s="5" t="s">
        <v>575</v>
      </c>
      <c r="E133" s="5" t="s">
        <v>576</v>
      </c>
      <c r="F133" s="5" t="s">
        <v>84</v>
      </c>
      <c r="G133" s="5">
        <v>150</v>
      </c>
      <c r="H133" s="5">
        <v>115</v>
      </c>
      <c r="I133" s="5">
        <v>400</v>
      </c>
      <c r="J133" s="5">
        <v>46000</v>
      </c>
      <c r="K133" s="5">
        <v>4</v>
      </c>
      <c r="L133" s="5">
        <v>2</v>
      </c>
      <c r="M133" s="5">
        <v>0.6</v>
      </c>
      <c r="N133" s="5">
        <v>95</v>
      </c>
      <c r="O133" s="5">
        <v>45</v>
      </c>
      <c r="P133" s="5" t="s">
        <v>85</v>
      </c>
      <c r="Q133" s="5">
        <v>8.5</v>
      </c>
      <c r="R133" s="5">
        <v>9</v>
      </c>
      <c r="S133" s="5" t="s">
        <v>74</v>
      </c>
      <c r="T133" s="5">
        <v>8.5</v>
      </c>
      <c r="U133" s="5" t="s">
        <v>36</v>
      </c>
      <c r="V133" s="5" t="s">
        <v>46</v>
      </c>
      <c r="W133" s="5">
        <v>2</v>
      </c>
      <c r="X133" s="5" t="s">
        <v>38</v>
      </c>
      <c r="Y133" s="5">
        <v>18</v>
      </c>
      <c r="Z133" s="5">
        <v>8.5</v>
      </c>
      <c r="AA133" s="5" t="s">
        <v>560</v>
      </c>
      <c r="AB133" s="5" t="s">
        <v>556</v>
      </c>
      <c r="AC133" s="5" t="s">
        <v>577</v>
      </c>
      <c r="AD133" s="5"/>
      <c r="AF133" s="15" t="s">
        <v>552</v>
      </c>
      <c r="AG133" s="15" t="s">
        <v>576</v>
      </c>
      <c r="AH133">
        <f t="shared" si="80"/>
        <v>66.666666666666671</v>
      </c>
      <c r="AI133">
        <f t="shared" si="46"/>
        <v>85</v>
      </c>
      <c r="AJ133" s="12">
        <f t="shared" si="47"/>
        <v>88</v>
      </c>
      <c r="AK133">
        <f t="shared" si="48"/>
        <v>95</v>
      </c>
      <c r="AL133">
        <f t="shared" si="49"/>
        <v>80</v>
      </c>
      <c r="AM133">
        <f t="shared" si="50"/>
        <v>70</v>
      </c>
      <c r="AN133">
        <f t="shared" si="44"/>
        <v>99.920199840399675</v>
      </c>
      <c r="AO133">
        <f t="shared" si="51"/>
        <v>85</v>
      </c>
      <c r="AP133">
        <f t="shared" si="52"/>
        <v>81.564272661878661</v>
      </c>
      <c r="AQ133">
        <f t="shared" si="82"/>
        <v>1</v>
      </c>
      <c r="AR133" t="str">
        <f t="shared" si="53"/>
        <v>PEAN-006</v>
      </c>
      <c r="AS133" s="15" t="s">
        <v>552</v>
      </c>
      <c r="AT133" s="15" t="s">
        <v>576</v>
      </c>
      <c r="AU133">
        <f t="shared" si="81"/>
        <v>66.666666666666671</v>
      </c>
      <c r="AV133">
        <f t="shared" si="54"/>
        <v>80</v>
      </c>
      <c r="AW133">
        <f t="shared" si="55"/>
        <v>95</v>
      </c>
      <c r="AX133">
        <f t="shared" si="56"/>
        <v>85</v>
      </c>
      <c r="AY133">
        <f t="shared" si="45"/>
        <v>99.920199840399675</v>
      </c>
      <c r="AZ133">
        <f t="shared" si="57"/>
        <v>70</v>
      </c>
      <c r="BA133">
        <f t="shared" si="58"/>
        <v>80.246009992019978</v>
      </c>
      <c r="BB133">
        <f t="shared" si="83"/>
        <v>4</v>
      </c>
      <c r="BC133" t="str">
        <f t="shared" si="59"/>
        <v>PEAN-006</v>
      </c>
    </row>
    <row r="134" spans="2:55" ht="39.6" x14ac:dyDescent="0.3">
      <c r="B134" s="5" t="s">
        <v>29</v>
      </c>
      <c r="C134" s="15" t="s">
        <v>552</v>
      </c>
      <c r="D134" s="5" t="s">
        <v>578</v>
      </c>
      <c r="E134" s="5" t="s">
        <v>579</v>
      </c>
      <c r="F134" s="5" t="s">
        <v>78</v>
      </c>
      <c r="G134" s="5">
        <v>1400</v>
      </c>
      <c r="H134" s="5">
        <v>95</v>
      </c>
      <c r="I134" s="5">
        <v>3000</v>
      </c>
      <c r="J134" s="5">
        <v>285000</v>
      </c>
      <c r="K134" s="5">
        <v>10</v>
      </c>
      <c r="L134" s="5">
        <v>5</v>
      </c>
      <c r="M134" s="5">
        <v>1.8</v>
      </c>
      <c r="N134" s="5">
        <v>85</v>
      </c>
      <c r="O134" s="5">
        <v>90</v>
      </c>
      <c r="P134" s="5" t="s">
        <v>66</v>
      </c>
      <c r="Q134" s="5">
        <v>6.5</v>
      </c>
      <c r="R134" s="5">
        <v>7.5</v>
      </c>
      <c r="S134" s="5" t="s">
        <v>54</v>
      </c>
      <c r="T134" s="5">
        <v>6</v>
      </c>
      <c r="U134" s="5" t="s">
        <v>174</v>
      </c>
      <c r="V134" s="5" t="s">
        <v>54</v>
      </c>
      <c r="W134" s="5">
        <v>3</v>
      </c>
      <c r="X134" s="5" t="s">
        <v>68</v>
      </c>
      <c r="Y134" s="5">
        <v>40</v>
      </c>
      <c r="Z134" s="5">
        <v>6.5</v>
      </c>
      <c r="AA134" s="5" t="s">
        <v>555</v>
      </c>
      <c r="AB134" s="5" t="s">
        <v>134</v>
      </c>
      <c r="AC134" s="5" t="s">
        <v>580</v>
      </c>
      <c r="AD134" s="5"/>
      <c r="AF134" s="15" t="s">
        <v>552</v>
      </c>
      <c r="AG134" s="15" t="s">
        <v>579</v>
      </c>
      <c r="AH134">
        <f t="shared" si="80"/>
        <v>100</v>
      </c>
      <c r="AI134">
        <f t="shared" si="46"/>
        <v>65</v>
      </c>
      <c r="AJ134" s="12">
        <f t="shared" si="47"/>
        <v>64</v>
      </c>
      <c r="AK134">
        <f t="shared" si="48"/>
        <v>85</v>
      </c>
      <c r="AL134">
        <f t="shared" si="49"/>
        <v>50</v>
      </c>
      <c r="AM134">
        <f t="shared" si="50"/>
        <v>0</v>
      </c>
      <c r="AN134">
        <f t="shared" si="44"/>
        <v>99.400198800397604</v>
      </c>
      <c r="AO134">
        <f t="shared" si="51"/>
        <v>65</v>
      </c>
      <c r="AP134">
        <f t="shared" si="52"/>
        <v>72.882005964011924</v>
      </c>
      <c r="AQ134">
        <f t="shared" si="82"/>
        <v>7</v>
      </c>
      <c r="AR134" t="str">
        <f t="shared" si="53"/>
        <v>PEAN-007</v>
      </c>
      <c r="AS134" s="15" t="s">
        <v>552</v>
      </c>
      <c r="AT134" s="15" t="s">
        <v>579</v>
      </c>
      <c r="AU134">
        <f t="shared" si="81"/>
        <v>100</v>
      </c>
      <c r="AV134">
        <f t="shared" si="54"/>
        <v>50</v>
      </c>
      <c r="AW134">
        <f t="shared" si="55"/>
        <v>85</v>
      </c>
      <c r="AX134">
        <f t="shared" si="56"/>
        <v>65</v>
      </c>
      <c r="AY134">
        <f t="shared" si="45"/>
        <v>99.400198800397604</v>
      </c>
      <c r="AZ134">
        <f t="shared" si="57"/>
        <v>0</v>
      </c>
      <c r="BA134">
        <f t="shared" si="58"/>
        <v>74.220009940019878</v>
      </c>
      <c r="BB134">
        <f t="shared" si="83"/>
        <v>6</v>
      </c>
      <c r="BC134" t="str">
        <f t="shared" si="59"/>
        <v>PEAN-007</v>
      </c>
    </row>
    <row r="135" spans="2:55" ht="39.6" x14ac:dyDescent="0.3">
      <c r="B135" s="5" t="s">
        <v>29</v>
      </c>
      <c r="C135" s="15" t="s">
        <v>552</v>
      </c>
      <c r="D135" s="5" t="s">
        <v>581</v>
      </c>
      <c r="E135" s="5" t="s">
        <v>582</v>
      </c>
      <c r="F135" s="5" t="s">
        <v>33</v>
      </c>
      <c r="G135" s="5">
        <v>65</v>
      </c>
      <c r="H135" s="5">
        <v>140</v>
      </c>
      <c r="I135" s="5">
        <v>150</v>
      </c>
      <c r="J135" s="5">
        <v>21000</v>
      </c>
      <c r="K135" s="5">
        <v>3</v>
      </c>
      <c r="L135" s="5">
        <v>1</v>
      </c>
      <c r="M135" s="5">
        <v>0.7</v>
      </c>
      <c r="N135" s="5">
        <v>96</v>
      </c>
      <c r="O135" s="5">
        <v>30</v>
      </c>
      <c r="P135" s="5" t="s">
        <v>118</v>
      </c>
      <c r="Q135" s="5">
        <v>8</v>
      </c>
      <c r="R135" s="5">
        <v>9.1999999999999993</v>
      </c>
      <c r="S135" s="5" t="s">
        <v>67</v>
      </c>
      <c r="T135" s="5">
        <v>7.5</v>
      </c>
      <c r="U135" s="5" t="s">
        <v>53</v>
      </c>
      <c r="V135" s="5" t="s">
        <v>54</v>
      </c>
      <c r="W135" s="5">
        <v>1</v>
      </c>
      <c r="X135" s="5" t="s">
        <v>38</v>
      </c>
      <c r="Y135" s="5">
        <v>12</v>
      </c>
      <c r="Z135" s="5">
        <v>8.1999999999999993</v>
      </c>
      <c r="AA135" s="5" t="s">
        <v>583</v>
      </c>
      <c r="AB135" s="5" t="s">
        <v>565</v>
      </c>
      <c r="AC135" s="5" t="s">
        <v>566</v>
      </c>
      <c r="AD135" s="5"/>
      <c r="AF135" s="15" t="s">
        <v>552</v>
      </c>
      <c r="AG135" s="15" t="s">
        <v>582</v>
      </c>
      <c r="AH135">
        <f t="shared" si="80"/>
        <v>25</v>
      </c>
      <c r="AI135">
        <f t="shared" si="46"/>
        <v>80</v>
      </c>
      <c r="AJ135" s="12">
        <f t="shared" si="47"/>
        <v>86</v>
      </c>
      <c r="AK135">
        <f t="shared" si="48"/>
        <v>96</v>
      </c>
      <c r="AL135">
        <f t="shared" si="49"/>
        <v>85</v>
      </c>
      <c r="AM135">
        <f t="shared" si="50"/>
        <v>87</v>
      </c>
      <c r="AN135">
        <f t="shared" si="44"/>
        <v>99.97019994039988</v>
      </c>
      <c r="AO135">
        <f t="shared" si="51"/>
        <v>82</v>
      </c>
      <c r="AP135">
        <f t="shared" si="52"/>
        <v>71.039105998211994</v>
      </c>
      <c r="AQ135">
        <f t="shared" si="82"/>
        <v>9</v>
      </c>
      <c r="AR135" t="str">
        <f t="shared" si="53"/>
        <v>PEAN-008</v>
      </c>
      <c r="AS135" s="15" t="s">
        <v>552</v>
      </c>
      <c r="AT135" s="15" t="s">
        <v>582</v>
      </c>
      <c r="AU135">
        <f t="shared" si="81"/>
        <v>25</v>
      </c>
      <c r="AV135">
        <f t="shared" si="54"/>
        <v>85</v>
      </c>
      <c r="AW135">
        <f t="shared" si="55"/>
        <v>96</v>
      </c>
      <c r="AX135">
        <f t="shared" si="56"/>
        <v>80</v>
      </c>
      <c r="AY135">
        <f t="shared" si="45"/>
        <v>99.97019994039988</v>
      </c>
      <c r="AZ135">
        <f t="shared" si="57"/>
        <v>87</v>
      </c>
      <c r="BA135">
        <f t="shared" si="58"/>
        <v>69.298509997019991</v>
      </c>
      <c r="BB135">
        <f t="shared" si="83"/>
        <v>7</v>
      </c>
      <c r="BC135" t="str">
        <f t="shared" si="59"/>
        <v>PEAN-008</v>
      </c>
    </row>
    <row r="136" spans="2:55" ht="39.6" x14ac:dyDescent="0.3">
      <c r="B136" s="5" t="s">
        <v>29</v>
      </c>
      <c r="C136" s="15" t="s">
        <v>552</v>
      </c>
      <c r="D136" s="5" t="s">
        <v>584</v>
      </c>
      <c r="E136" s="5" t="s">
        <v>585</v>
      </c>
      <c r="F136" s="5" t="s">
        <v>59</v>
      </c>
      <c r="G136" s="5">
        <v>200</v>
      </c>
      <c r="H136" s="5">
        <v>155</v>
      </c>
      <c r="I136" s="5">
        <v>100</v>
      </c>
      <c r="J136" s="5">
        <v>15500</v>
      </c>
      <c r="K136" s="5">
        <v>5</v>
      </c>
      <c r="L136" s="5">
        <v>2</v>
      </c>
      <c r="M136" s="5">
        <v>0.3</v>
      </c>
      <c r="N136" s="5">
        <v>94</v>
      </c>
      <c r="O136" s="5">
        <v>30</v>
      </c>
      <c r="P136" s="5" t="s">
        <v>88</v>
      </c>
      <c r="Q136" s="5">
        <v>9.1999999999999993</v>
      </c>
      <c r="R136" s="5">
        <v>8.8000000000000007</v>
      </c>
      <c r="S136" s="5" t="s">
        <v>160</v>
      </c>
      <c r="T136" s="5">
        <v>9.8000000000000007</v>
      </c>
      <c r="U136" s="5" t="s">
        <v>53</v>
      </c>
      <c r="V136" s="5" t="s">
        <v>54</v>
      </c>
      <c r="W136" s="5">
        <v>2</v>
      </c>
      <c r="X136" s="5" t="s">
        <v>38</v>
      </c>
      <c r="Y136" s="5">
        <v>8</v>
      </c>
      <c r="Z136" s="5">
        <v>9</v>
      </c>
      <c r="AA136" s="5" t="s">
        <v>586</v>
      </c>
      <c r="AB136" s="5" t="s">
        <v>569</v>
      </c>
      <c r="AC136" s="5" t="s">
        <v>587</v>
      </c>
      <c r="AD136" s="5"/>
      <c r="AF136" s="15" t="s">
        <v>552</v>
      </c>
      <c r="AG136" s="15" t="s">
        <v>585</v>
      </c>
      <c r="AH136">
        <f t="shared" si="80"/>
        <v>0</v>
      </c>
      <c r="AI136">
        <f t="shared" si="46"/>
        <v>92</v>
      </c>
      <c r="AJ136" s="12">
        <f t="shared" si="47"/>
        <v>94</v>
      </c>
      <c r="AK136">
        <f t="shared" si="48"/>
        <v>94</v>
      </c>
      <c r="AL136">
        <f t="shared" si="49"/>
        <v>75</v>
      </c>
      <c r="AM136">
        <f t="shared" si="50"/>
        <v>60</v>
      </c>
      <c r="AN136">
        <f t="shared" ref="AN136:AN199" si="84">100-((I136-MIN($I$8:$I$267))/(MAX($I$8:$I$267)-MIN($I$8:$I$267))*100)</f>
        <v>99.980199960399915</v>
      </c>
      <c r="AO136">
        <f t="shared" si="51"/>
        <v>90</v>
      </c>
      <c r="AP136">
        <f t="shared" si="52"/>
        <v>66.499405998811994</v>
      </c>
      <c r="AQ136">
        <f t="shared" si="82"/>
        <v>10</v>
      </c>
      <c r="AR136" t="str">
        <f t="shared" si="53"/>
        <v>PEAN-009</v>
      </c>
      <c r="AS136" s="15" t="s">
        <v>552</v>
      </c>
      <c r="AT136" s="15" t="s">
        <v>585</v>
      </c>
      <c r="AU136">
        <f t="shared" si="81"/>
        <v>0</v>
      </c>
      <c r="AV136">
        <f t="shared" si="54"/>
        <v>75</v>
      </c>
      <c r="AW136">
        <f t="shared" si="55"/>
        <v>94</v>
      </c>
      <c r="AX136">
        <f t="shared" si="56"/>
        <v>92</v>
      </c>
      <c r="AY136">
        <f t="shared" ref="AY136:AY199" si="85">100-((I136-MIN($I$8:$I$267))/(MAX($I$8:$I$267)-MIN($I$8:$I$267))*100)</f>
        <v>99.980199960399915</v>
      </c>
      <c r="AZ136">
        <f t="shared" si="57"/>
        <v>60</v>
      </c>
      <c r="BA136">
        <f t="shared" si="58"/>
        <v>59.349009998019994</v>
      </c>
      <c r="BB136">
        <f t="shared" si="83"/>
        <v>10</v>
      </c>
      <c r="BC136" t="str">
        <f t="shared" si="59"/>
        <v>PEAN-009</v>
      </c>
    </row>
    <row r="137" spans="2:55" ht="39.6" x14ac:dyDescent="0.3">
      <c r="B137" s="5" t="s">
        <v>29</v>
      </c>
      <c r="C137" s="15" t="s">
        <v>552</v>
      </c>
      <c r="D137" s="5" t="s">
        <v>588</v>
      </c>
      <c r="E137" s="5" t="s">
        <v>589</v>
      </c>
      <c r="F137" s="5" t="s">
        <v>50</v>
      </c>
      <c r="G137" s="5">
        <v>150</v>
      </c>
      <c r="H137" s="5">
        <v>130</v>
      </c>
      <c r="I137" s="5">
        <v>800</v>
      </c>
      <c r="J137" s="5">
        <v>104000</v>
      </c>
      <c r="K137" s="5">
        <v>14</v>
      </c>
      <c r="L137" s="5">
        <v>7</v>
      </c>
      <c r="M137" s="5">
        <v>0.4</v>
      </c>
      <c r="N137" s="5">
        <v>92</v>
      </c>
      <c r="O137" s="5">
        <v>60</v>
      </c>
      <c r="P137" s="5" t="s">
        <v>94</v>
      </c>
      <c r="Q137" s="5">
        <v>8.8000000000000007</v>
      </c>
      <c r="R137" s="5">
        <v>8.3000000000000007</v>
      </c>
      <c r="S137" s="5" t="s">
        <v>206</v>
      </c>
      <c r="T137" s="5">
        <v>8.8000000000000007</v>
      </c>
      <c r="U137" s="5" t="s">
        <v>36</v>
      </c>
      <c r="V137" s="5" t="s">
        <v>37</v>
      </c>
      <c r="W137" s="5">
        <v>1</v>
      </c>
      <c r="X137" s="5" t="s">
        <v>38</v>
      </c>
      <c r="Y137" s="5">
        <v>35</v>
      </c>
      <c r="Z137" s="5">
        <v>8</v>
      </c>
      <c r="AA137" s="5" t="s">
        <v>560</v>
      </c>
      <c r="AB137" s="5" t="s">
        <v>561</v>
      </c>
      <c r="AC137" s="5" t="s">
        <v>590</v>
      </c>
      <c r="AD137" s="5"/>
      <c r="AF137" s="15" t="s">
        <v>552</v>
      </c>
      <c r="AG137" s="15" t="s">
        <v>589</v>
      </c>
      <c r="AH137">
        <f t="shared" si="80"/>
        <v>41.666666666666664</v>
      </c>
      <c r="AI137">
        <f t="shared" ref="AI137:AI200" si="86">Q137*10</f>
        <v>88</v>
      </c>
      <c r="AJ137" s="12">
        <f t="shared" ref="AJ137:AJ200" si="87">MAX(0, 100-(M137*20))</f>
        <v>92</v>
      </c>
      <c r="AK137">
        <f t="shared" ref="AK137:AK200" si="88">N137</f>
        <v>92</v>
      </c>
      <c r="AL137">
        <f t="shared" ref="AL137:AL200" si="89">MAX(0, 100-(K137*5))</f>
        <v>30</v>
      </c>
      <c r="AM137">
        <f t="shared" ref="AM137:AM200" si="90">MAX(0, 100-(G137/5))</f>
        <v>70</v>
      </c>
      <c r="AN137">
        <f t="shared" si="84"/>
        <v>99.840199680399365</v>
      </c>
      <c r="AO137">
        <f t="shared" ref="AO137:AO200" si="91">Z137*10</f>
        <v>80</v>
      </c>
      <c r="AP137">
        <f t="shared" ref="AP137:AP200" si="92">SUM(AH137*0.25, AI137*0.25, AJ137*0.15, AK137*0.15, AL137*0.1, AM137*0.05,AN137*0.03,AO137*0.02)</f>
        <v>71.111872657078621</v>
      </c>
      <c r="AQ137">
        <f t="shared" si="82"/>
        <v>8</v>
      </c>
      <c r="AR137" t="str">
        <f t="shared" ref="AR137:AR200" si="93">D137</f>
        <v>PEAN-010</v>
      </c>
      <c r="AS137" s="15" t="s">
        <v>552</v>
      </c>
      <c r="AT137" s="15" t="s">
        <v>589</v>
      </c>
      <c r="AU137">
        <f t="shared" si="81"/>
        <v>41.666666666666664</v>
      </c>
      <c r="AV137">
        <f t="shared" ref="AV137:AV200" si="94">MAX(0, 100-(K137*5))</f>
        <v>30</v>
      </c>
      <c r="AW137">
        <f t="shared" ref="AW137:AW200" si="95">N137</f>
        <v>92</v>
      </c>
      <c r="AX137">
        <f t="shared" ref="AX137:AX200" si="96">Q137*10</f>
        <v>88</v>
      </c>
      <c r="AY137">
        <f t="shared" si="85"/>
        <v>99.840199680399365</v>
      </c>
      <c r="AZ137">
        <f t="shared" ref="AZ137:AZ200" si="97">MAX(0, 100-(G137/5))</f>
        <v>70</v>
      </c>
      <c r="BA137">
        <f t="shared" ref="BA137:BA200" si="98">SUM(AU137*0.3,AV137*0.25,AW137*0.2,AX137*0.15,AY137*0.05,AZ137*0.05)</f>
        <v>60.092009984019981</v>
      </c>
      <c r="BB137">
        <f t="shared" si="83"/>
        <v>9</v>
      </c>
      <c r="BC137" t="str">
        <f t="shared" ref="BC137:BC200" si="99">D137</f>
        <v>PEAN-010</v>
      </c>
    </row>
    <row r="138" spans="2:55" ht="39.6" x14ac:dyDescent="0.3">
      <c r="B138" s="5" t="s">
        <v>29</v>
      </c>
      <c r="C138" s="15" t="s">
        <v>591</v>
      </c>
      <c r="D138" s="5" t="s">
        <v>592</v>
      </c>
      <c r="E138" s="5" t="s">
        <v>593</v>
      </c>
      <c r="F138" s="5" t="s">
        <v>72</v>
      </c>
      <c r="G138" s="5">
        <v>20</v>
      </c>
      <c r="H138" s="5">
        <v>300</v>
      </c>
      <c r="I138" s="5">
        <v>50</v>
      </c>
      <c r="J138" s="5">
        <v>15000</v>
      </c>
      <c r="K138" s="5">
        <v>3</v>
      </c>
      <c r="L138" s="5">
        <v>1</v>
      </c>
      <c r="M138" s="5">
        <v>0.5</v>
      </c>
      <c r="N138" s="5">
        <v>97</v>
      </c>
      <c r="O138" s="5">
        <v>30</v>
      </c>
      <c r="P138" s="5" t="s">
        <v>320</v>
      </c>
      <c r="Q138" s="5">
        <v>8.1999999999999993</v>
      </c>
      <c r="R138" s="5">
        <v>9.4</v>
      </c>
      <c r="S138" s="5" t="s">
        <v>67</v>
      </c>
      <c r="T138" s="5">
        <v>8.5</v>
      </c>
      <c r="U138" s="5" t="s">
        <v>53</v>
      </c>
      <c r="V138" s="5" t="s">
        <v>54</v>
      </c>
      <c r="W138" s="5">
        <v>1</v>
      </c>
      <c r="X138" s="5" t="s">
        <v>38</v>
      </c>
      <c r="Y138" s="5">
        <v>60</v>
      </c>
      <c r="Z138" s="5">
        <v>8.8000000000000007</v>
      </c>
      <c r="AA138" s="5" t="s">
        <v>594</v>
      </c>
      <c r="AB138" s="7">
        <v>0.18</v>
      </c>
      <c r="AC138" s="5" t="s">
        <v>595</v>
      </c>
      <c r="AD138" s="5" t="s">
        <v>596</v>
      </c>
      <c r="AF138" s="15" t="s">
        <v>591</v>
      </c>
      <c r="AG138" s="15" t="s">
        <v>593</v>
      </c>
      <c r="AH138">
        <f t="shared" ref="AH138:AH147" si="100">100-((H138-MIN($H$138:$H$147))/(MAX($H$138:$H$147)-MIN($H$138:$H$147))*100)</f>
        <v>65.217391304347828</v>
      </c>
      <c r="AI138">
        <f t="shared" si="86"/>
        <v>82</v>
      </c>
      <c r="AJ138" s="12">
        <f t="shared" si="87"/>
        <v>90</v>
      </c>
      <c r="AK138">
        <f t="shared" si="88"/>
        <v>97</v>
      </c>
      <c r="AL138">
        <f t="shared" si="89"/>
        <v>85</v>
      </c>
      <c r="AM138">
        <f t="shared" si="90"/>
        <v>96</v>
      </c>
      <c r="AN138">
        <f t="shared" si="84"/>
        <v>99.990199980399964</v>
      </c>
      <c r="AO138">
        <f t="shared" si="91"/>
        <v>88</v>
      </c>
      <c r="AP138">
        <f t="shared" si="92"/>
        <v>82.914053825498954</v>
      </c>
      <c r="AQ138">
        <f>RANK(AP138, $AP$138:$AP$147, 0)</f>
        <v>1</v>
      </c>
      <c r="AR138" t="str">
        <f t="shared" si="93"/>
        <v>HONEY-001</v>
      </c>
      <c r="AS138" s="15" t="s">
        <v>591</v>
      </c>
      <c r="AT138" s="15" t="s">
        <v>593</v>
      </c>
      <c r="AU138">
        <f t="shared" ref="AU138:AU147" si="101">100-((H138-MIN($H$138:$H$147))/(MAX($H$138:$H$147)-MIN($H$138:$H$147))*100)</f>
        <v>65.217391304347828</v>
      </c>
      <c r="AV138">
        <f t="shared" si="94"/>
        <v>85</v>
      </c>
      <c r="AW138">
        <f t="shared" si="95"/>
        <v>97</v>
      </c>
      <c r="AX138">
        <f t="shared" si="96"/>
        <v>82</v>
      </c>
      <c r="AY138">
        <f t="shared" si="85"/>
        <v>99.990199980399964</v>
      </c>
      <c r="AZ138">
        <f t="shared" si="97"/>
        <v>96</v>
      </c>
      <c r="BA138">
        <f t="shared" si="98"/>
        <v>82.314727390324336</v>
      </c>
      <c r="BB138">
        <f>RANK(BA138, $BA$138:$BA$147, 0)</f>
        <v>2</v>
      </c>
      <c r="BC138" t="str">
        <f t="shared" si="99"/>
        <v>HONEY-001</v>
      </c>
    </row>
    <row r="139" spans="2:55" ht="39.6" x14ac:dyDescent="0.3">
      <c r="B139" s="5" t="s">
        <v>29</v>
      </c>
      <c r="C139" s="15" t="s">
        <v>591</v>
      </c>
      <c r="D139" s="5" t="s">
        <v>597</v>
      </c>
      <c r="E139" s="5" t="s">
        <v>598</v>
      </c>
      <c r="F139" s="5" t="s">
        <v>59</v>
      </c>
      <c r="G139" s="5">
        <v>200</v>
      </c>
      <c r="H139" s="5">
        <v>280</v>
      </c>
      <c r="I139" s="5">
        <v>100</v>
      </c>
      <c r="J139" s="5">
        <v>28000</v>
      </c>
      <c r="K139" s="5">
        <v>5</v>
      </c>
      <c r="L139" s="5">
        <v>2</v>
      </c>
      <c r="M139" s="5">
        <v>0.8</v>
      </c>
      <c r="N139" s="5">
        <v>95</v>
      </c>
      <c r="O139" s="5">
        <v>45</v>
      </c>
      <c r="P139" s="5" t="s">
        <v>327</v>
      </c>
      <c r="Q139" s="5">
        <v>7.8</v>
      </c>
      <c r="R139" s="5">
        <v>9</v>
      </c>
      <c r="S139" s="5" t="s">
        <v>62</v>
      </c>
      <c r="T139" s="5">
        <v>9</v>
      </c>
      <c r="U139" s="5" t="s">
        <v>53</v>
      </c>
      <c r="V139" s="5" t="s">
        <v>46</v>
      </c>
      <c r="W139" s="5">
        <v>2</v>
      </c>
      <c r="X139" s="5" t="s">
        <v>38</v>
      </c>
      <c r="Y139" s="5">
        <v>90</v>
      </c>
      <c r="Z139" s="5">
        <v>8.1999999999999993</v>
      </c>
      <c r="AA139" s="5" t="s">
        <v>599</v>
      </c>
      <c r="AB139" s="7">
        <v>0.17</v>
      </c>
      <c r="AC139" s="5" t="s">
        <v>600</v>
      </c>
      <c r="AD139" s="5" t="s">
        <v>601</v>
      </c>
      <c r="AF139" s="15" t="s">
        <v>591</v>
      </c>
      <c r="AG139" s="15" t="s">
        <v>598</v>
      </c>
      <c r="AH139">
        <f t="shared" si="100"/>
        <v>73.913043478260875</v>
      </c>
      <c r="AI139">
        <f t="shared" si="86"/>
        <v>78</v>
      </c>
      <c r="AJ139" s="12">
        <f t="shared" si="87"/>
        <v>84</v>
      </c>
      <c r="AK139">
        <f t="shared" si="88"/>
        <v>95</v>
      </c>
      <c r="AL139">
        <f t="shared" si="89"/>
        <v>75</v>
      </c>
      <c r="AM139">
        <f t="shared" si="90"/>
        <v>60</v>
      </c>
      <c r="AN139">
        <f t="shared" si="84"/>
        <v>99.980199960399915</v>
      </c>
      <c r="AO139">
        <f t="shared" si="91"/>
        <v>82</v>
      </c>
      <c r="AP139">
        <f t="shared" si="92"/>
        <v>79.967666868377208</v>
      </c>
      <c r="AQ139">
        <f t="shared" ref="AQ139:AQ147" si="102">RANK(AP139, $AP$138:$AP$147, 0)</f>
        <v>4</v>
      </c>
      <c r="AR139" t="str">
        <f t="shared" si="93"/>
        <v>HONEY-002</v>
      </c>
      <c r="AS139" s="15" t="s">
        <v>591</v>
      </c>
      <c r="AT139" s="15" t="s">
        <v>598</v>
      </c>
      <c r="AU139">
        <f t="shared" si="101"/>
        <v>73.913043478260875</v>
      </c>
      <c r="AV139">
        <f t="shared" si="94"/>
        <v>75</v>
      </c>
      <c r="AW139">
        <f t="shared" si="95"/>
        <v>95</v>
      </c>
      <c r="AX139">
        <f t="shared" si="96"/>
        <v>78</v>
      </c>
      <c r="AY139">
        <f t="shared" si="85"/>
        <v>99.980199960399915</v>
      </c>
      <c r="AZ139">
        <f t="shared" si="97"/>
        <v>60</v>
      </c>
      <c r="BA139">
        <f t="shared" si="98"/>
        <v>79.622923041498268</v>
      </c>
      <c r="BB139">
        <f t="shared" ref="BB139:BB147" si="103">RANK(BA139, $BA$138:$BA$147, 0)</f>
        <v>3</v>
      </c>
      <c r="BC139" t="str">
        <f t="shared" si="99"/>
        <v>HONEY-002</v>
      </c>
    </row>
    <row r="140" spans="2:55" ht="39.6" x14ac:dyDescent="0.3">
      <c r="B140" s="5" t="s">
        <v>29</v>
      </c>
      <c r="C140" s="15" t="s">
        <v>591</v>
      </c>
      <c r="D140" s="5" t="s">
        <v>602</v>
      </c>
      <c r="E140" s="5" t="s">
        <v>603</v>
      </c>
      <c r="F140" s="5" t="s">
        <v>178</v>
      </c>
      <c r="G140" s="5">
        <v>110</v>
      </c>
      <c r="H140" s="5">
        <v>350</v>
      </c>
      <c r="I140" s="5">
        <v>25</v>
      </c>
      <c r="J140" s="5">
        <v>8750</v>
      </c>
      <c r="K140" s="5">
        <v>7</v>
      </c>
      <c r="L140" s="5">
        <v>3</v>
      </c>
      <c r="M140" s="5">
        <v>0.3</v>
      </c>
      <c r="N140" s="5">
        <v>96</v>
      </c>
      <c r="O140" s="5">
        <v>30</v>
      </c>
      <c r="P140" s="5" t="s">
        <v>346</v>
      </c>
      <c r="Q140" s="5">
        <v>9</v>
      </c>
      <c r="R140" s="5">
        <v>8.8000000000000007</v>
      </c>
      <c r="S140" s="5" t="s">
        <v>160</v>
      </c>
      <c r="T140" s="5">
        <v>9.5</v>
      </c>
      <c r="U140" s="5" t="s">
        <v>53</v>
      </c>
      <c r="V140" s="5" t="s">
        <v>54</v>
      </c>
      <c r="W140" s="5">
        <v>2</v>
      </c>
      <c r="X140" s="5" t="s">
        <v>38</v>
      </c>
      <c r="Y140" s="5">
        <v>120</v>
      </c>
      <c r="Z140" s="5">
        <v>9</v>
      </c>
      <c r="AA140" s="5" t="s">
        <v>604</v>
      </c>
      <c r="AB140" s="7">
        <v>0.16</v>
      </c>
      <c r="AC140" s="5" t="s">
        <v>605</v>
      </c>
      <c r="AD140" s="5" t="s">
        <v>606</v>
      </c>
      <c r="AF140" s="15" t="s">
        <v>591</v>
      </c>
      <c r="AG140" s="15" t="s">
        <v>603</v>
      </c>
      <c r="AH140">
        <f t="shared" si="100"/>
        <v>43.478260869565219</v>
      </c>
      <c r="AI140">
        <f t="shared" si="86"/>
        <v>90</v>
      </c>
      <c r="AJ140" s="12">
        <f t="shared" si="87"/>
        <v>94</v>
      </c>
      <c r="AK140">
        <f t="shared" si="88"/>
        <v>96</v>
      </c>
      <c r="AL140">
        <f t="shared" si="89"/>
        <v>65</v>
      </c>
      <c r="AM140">
        <f t="shared" si="90"/>
        <v>78</v>
      </c>
      <c r="AN140">
        <f t="shared" si="84"/>
        <v>99.995199990399982</v>
      </c>
      <c r="AO140">
        <f t="shared" si="91"/>
        <v>90</v>
      </c>
      <c r="AP140">
        <f t="shared" si="92"/>
        <v>77.069421217103312</v>
      </c>
      <c r="AQ140">
        <f t="shared" si="102"/>
        <v>5</v>
      </c>
      <c r="AR140" t="str">
        <f t="shared" si="93"/>
        <v>HONEY-003</v>
      </c>
      <c r="AS140" s="15" t="s">
        <v>591</v>
      </c>
      <c r="AT140" s="15" t="s">
        <v>603</v>
      </c>
      <c r="AU140">
        <f t="shared" si="101"/>
        <v>43.478260869565219</v>
      </c>
      <c r="AV140">
        <f t="shared" si="94"/>
        <v>65</v>
      </c>
      <c r="AW140">
        <f t="shared" si="95"/>
        <v>96</v>
      </c>
      <c r="AX140">
        <f t="shared" si="96"/>
        <v>90</v>
      </c>
      <c r="AY140">
        <f t="shared" si="85"/>
        <v>99.995199990399982</v>
      </c>
      <c r="AZ140">
        <f t="shared" si="97"/>
        <v>78</v>
      </c>
      <c r="BA140">
        <f t="shared" si="98"/>
        <v>70.893238260389566</v>
      </c>
      <c r="BB140">
        <f t="shared" si="103"/>
        <v>6</v>
      </c>
      <c r="BC140" t="str">
        <f t="shared" si="99"/>
        <v>HONEY-003</v>
      </c>
    </row>
    <row r="141" spans="2:55" ht="39.6" x14ac:dyDescent="0.3">
      <c r="B141" s="5" t="s">
        <v>29</v>
      </c>
      <c r="C141" s="15" t="s">
        <v>591</v>
      </c>
      <c r="D141" s="5" t="s">
        <v>607</v>
      </c>
      <c r="E141" s="5" t="s">
        <v>608</v>
      </c>
      <c r="F141" s="5" t="s">
        <v>50</v>
      </c>
      <c r="G141" s="5">
        <v>150</v>
      </c>
      <c r="H141" s="5">
        <v>400</v>
      </c>
      <c r="I141" s="5">
        <v>200</v>
      </c>
      <c r="J141" s="5">
        <v>80000</v>
      </c>
      <c r="K141" s="5">
        <v>14</v>
      </c>
      <c r="L141" s="5">
        <v>7</v>
      </c>
      <c r="M141" s="5">
        <v>0.2</v>
      </c>
      <c r="N141" s="5">
        <v>92</v>
      </c>
      <c r="O141" s="5" t="s">
        <v>154</v>
      </c>
      <c r="P141" s="5" t="s">
        <v>327</v>
      </c>
      <c r="Q141" s="5">
        <v>8.5</v>
      </c>
      <c r="R141" s="5">
        <v>8</v>
      </c>
      <c r="S141" s="5" t="s">
        <v>347</v>
      </c>
      <c r="T141" s="5">
        <v>8.8000000000000007</v>
      </c>
      <c r="U141" s="5" t="s">
        <v>36</v>
      </c>
      <c r="V141" s="5" t="s">
        <v>37</v>
      </c>
      <c r="W141" s="5">
        <v>1</v>
      </c>
      <c r="X141" s="5" t="s">
        <v>68</v>
      </c>
      <c r="Y141" s="5">
        <v>180</v>
      </c>
      <c r="Z141" s="5">
        <v>7.5</v>
      </c>
      <c r="AA141" s="5" t="s">
        <v>609</v>
      </c>
      <c r="AB141" s="7">
        <v>0.19</v>
      </c>
      <c r="AC141" s="5" t="s">
        <v>610</v>
      </c>
      <c r="AD141" s="5" t="s">
        <v>611</v>
      </c>
      <c r="AF141" s="15" t="s">
        <v>591</v>
      </c>
      <c r="AG141" s="15" t="s">
        <v>608</v>
      </c>
      <c r="AH141">
        <f t="shared" si="100"/>
        <v>21.739130434782609</v>
      </c>
      <c r="AI141">
        <f t="shared" si="86"/>
        <v>85</v>
      </c>
      <c r="AJ141" s="12">
        <f t="shared" si="87"/>
        <v>96</v>
      </c>
      <c r="AK141">
        <f t="shared" si="88"/>
        <v>92</v>
      </c>
      <c r="AL141">
        <f t="shared" si="89"/>
        <v>30</v>
      </c>
      <c r="AM141">
        <f t="shared" si="90"/>
        <v>70</v>
      </c>
      <c r="AN141">
        <f t="shared" si="84"/>
        <v>99.960199920399845</v>
      </c>
      <c r="AO141">
        <f t="shared" si="91"/>
        <v>75</v>
      </c>
      <c r="AP141">
        <f t="shared" si="92"/>
        <v>65.88358860630764</v>
      </c>
      <c r="AQ141">
        <f t="shared" si="102"/>
        <v>9</v>
      </c>
      <c r="AR141" t="str">
        <f t="shared" si="93"/>
        <v>HONEY-004</v>
      </c>
      <c r="AS141" s="15" t="s">
        <v>591</v>
      </c>
      <c r="AT141" s="15" t="s">
        <v>608</v>
      </c>
      <c r="AU141">
        <f t="shared" si="101"/>
        <v>21.739130434782609</v>
      </c>
      <c r="AV141">
        <f t="shared" si="94"/>
        <v>30</v>
      </c>
      <c r="AW141">
        <f t="shared" si="95"/>
        <v>92</v>
      </c>
      <c r="AX141">
        <f t="shared" si="96"/>
        <v>85</v>
      </c>
      <c r="AY141">
        <f t="shared" si="85"/>
        <v>99.960199920399845</v>
      </c>
      <c r="AZ141">
        <f t="shared" si="97"/>
        <v>70</v>
      </c>
      <c r="BA141">
        <f t="shared" si="98"/>
        <v>53.669749126454782</v>
      </c>
      <c r="BB141">
        <f t="shared" si="103"/>
        <v>9</v>
      </c>
      <c r="BC141" t="str">
        <f t="shared" si="99"/>
        <v>HONEY-004</v>
      </c>
    </row>
    <row r="142" spans="2:55" ht="39.6" x14ac:dyDescent="0.3">
      <c r="B142" s="5" t="s">
        <v>29</v>
      </c>
      <c r="C142" s="15" t="s">
        <v>591</v>
      </c>
      <c r="D142" s="5" t="s">
        <v>612</v>
      </c>
      <c r="E142" s="5" t="s">
        <v>613</v>
      </c>
      <c r="F142" s="5" t="s">
        <v>84</v>
      </c>
      <c r="G142" s="5">
        <v>150</v>
      </c>
      <c r="H142" s="5">
        <v>380</v>
      </c>
      <c r="I142" s="5">
        <v>75</v>
      </c>
      <c r="J142" s="5">
        <v>28500</v>
      </c>
      <c r="K142" s="5">
        <v>10</v>
      </c>
      <c r="L142" s="5">
        <v>5</v>
      </c>
      <c r="M142" s="5">
        <v>0.4</v>
      </c>
      <c r="N142" s="5">
        <v>94</v>
      </c>
      <c r="O142" s="5">
        <v>45</v>
      </c>
      <c r="P142" s="5" t="s">
        <v>334</v>
      </c>
      <c r="Q142" s="5">
        <v>8.8000000000000007</v>
      </c>
      <c r="R142" s="5">
        <v>8.5</v>
      </c>
      <c r="S142" s="5" t="s">
        <v>404</v>
      </c>
      <c r="T142" s="5">
        <v>9</v>
      </c>
      <c r="U142" s="5" t="s">
        <v>36</v>
      </c>
      <c r="V142" s="5" t="s">
        <v>46</v>
      </c>
      <c r="W142" s="5">
        <v>2</v>
      </c>
      <c r="X142" s="5" t="s">
        <v>38</v>
      </c>
      <c r="Y142" s="5">
        <v>150</v>
      </c>
      <c r="Z142" s="5">
        <v>8.5</v>
      </c>
      <c r="AA142" s="5" t="s">
        <v>614</v>
      </c>
      <c r="AB142" s="6">
        <v>0.17499999999999999</v>
      </c>
      <c r="AC142" s="5" t="s">
        <v>615</v>
      </c>
      <c r="AD142" s="5" t="s">
        <v>616</v>
      </c>
      <c r="AF142" s="15" t="s">
        <v>591</v>
      </c>
      <c r="AG142" s="15" t="s">
        <v>613</v>
      </c>
      <c r="AH142">
        <f t="shared" si="100"/>
        <v>30.434782608695656</v>
      </c>
      <c r="AI142">
        <f t="shared" si="86"/>
        <v>88</v>
      </c>
      <c r="AJ142" s="12">
        <f t="shared" si="87"/>
        <v>92</v>
      </c>
      <c r="AK142">
        <f t="shared" si="88"/>
        <v>94</v>
      </c>
      <c r="AL142">
        <f t="shared" si="89"/>
        <v>50</v>
      </c>
      <c r="AM142">
        <f t="shared" si="90"/>
        <v>70</v>
      </c>
      <c r="AN142">
        <f t="shared" si="84"/>
        <v>99.985199970399947</v>
      </c>
      <c r="AO142">
        <f t="shared" si="91"/>
        <v>85</v>
      </c>
      <c r="AP142">
        <f t="shared" si="92"/>
        <v>70.70825165128592</v>
      </c>
      <c r="AQ142">
        <f t="shared" si="102"/>
        <v>7</v>
      </c>
      <c r="AR142" t="str">
        <f t="shared" si="93"/>
        <v>HONEY-005</v>
      </c>
      <c r="AS142" s="15" t="s">
        <v>591</v>
      </c>
      <c r="AT142" s="15" t="s">
        <v>613</v>
      </c>
      <c r="AU142">
        <f t="shared" si="101"/>
        <v>30.434782608695656</v>
      </c>
      <c r="AV142">
        <f t="shared" si="94"/>
        <v>50</v>
      </c>
      <c r="AW142">
        <f t="shared" si="95"/>
        <v>94</v>
      </c>
      <c r="AX142">
        <f t="shared" si="96"/>
        <v>88</v>
      </c>
      <c r="AY142">
        <f t="shared" si="85"/>
        <v>99.985199970399947</v>
      </c>
      <c r="AZ142">
        <f t="shared" si="97"/>
        <v>70</v>
      </c>
      <c r="BA142">
        <f t="shared" si="98"/>
        <v>62.129694781128698</v>
      </c>
      <c r="BB142">
        <f t="shared" si="103"/>
        <v>7</v>
      </c>
      <c r="BC142" t="str">
        <f t="shared" si="99"/>
        <v>HONEY-005</v>
      </c>
    </row>
    <row r="143" spans="2:55" ht="39.6" x14ac:dyDescent="0.3">
      <c r="B143" s="5" t="s">
        <v>29</v>
      </c>
      <c r="C143" s="15" t="s">
        <v>591</v>
      </c>
      <c r="D143" s="5" t="s">
        <v>617</v>
      </c>
      <c r="E143" s="5" t="s">
        <v>618</v>
      </c>
      <c r="F143" s="5" t="s">
        <v>43</v>
      </c>
      <c r="G143" s="5">
        <v>250</v>
      </c>
      <c r="H143" s="5">
        <v>250</v>
      </c>
      <c r="I143" s="5">
        <v>200</v>
      </c>
      <c r="J143" s="5">
        <v>50000</v>
      </c>
      <c r="K143" s="5">
        <v>4</v>
      </c>
      <c r="L143" s="5">
        <v>2</v>
      </c>
      <c r="M143" s="5">
        <v>0.9</v>
      </c>
      <c r="N143" s="5">
        <v>96</v>
      </c>
      <c r="O143" s="5">
        <v>30</v>
      </c>
      <c r="P143" s="5" t="s">
        <v>341</v>
      </c>
      <c r="Q143" s="5">
        <v>7.5</v>
      </c>
      <c r="R143" s="5">
        <v>9.1999999999999993</v>
      </c>
      <c r="S143" s="5" t="s">
        <v>67</v>
      </c>
      <c r="T143" s="5">
        <v>7.8</v>
      </c>
      <c r="U143" s="5" t="s">
        <v>81</v>
      </c>
      <c r="V143" s="5" t="s">
        <v>54</v>
      </c>
      <c r="W143" s="5">
        <v>1</v>
      </c>
      <c r="X143" s="5" t="s">
        <v>38</v>
      </c>
      <c r="Y143" s="5">
        <v>45</v>
      </c>
      <c r="Z143" s="5">
        <v>8</v>
      </c>
      <c r="AA143" s="5" t="s">
        <v>619</v>
      </c>
      <c r="AB143" s="7">
        <v>0.2</v>
      </c>
      <c r="AC143" s="5" t="s">
        <v>620</v>
      </c>
      <c r="AD143" s="5" t="s">
        <v>621</v>
      </c>
      <c r="AF143" s="15" t="s">
        <v>591</v>
      </c>
      <c r="AG143" s="15" t="s">
        <v>618</v>
      </c>
      <c r="AH143">
        <f t="shared" si="100"/>
        <v>86.956521739130437</v>
      </c>
      <c r="AI143">
        <f t="shared" si="86"/>
        <v>75</v>
      </c>
      <c r="AJ143" s="12">
        <f t="shared" si="87"/>
        <v>82</v>
      </c>
      <c r="AK143">
        <f t="shared" si="88"/>
        <v>96</v>
      </c>
      <c r="AL143">
        <f t="shared" si="89"/>
        <v>80</v>
      </c>
      <c r="AM143">
        <f t="shared" si="90"/>
        <v>50</v>
      </c>
      <c r="AN143">
        <f t="shared" si="84"/>
        <v>99.960199920399845</v>
      </c>
      <c r="AO143">
        <f t="shared" si="91"/>
        <v>80</v>
      </c>
      <c r="AP143">
        <f t="shared" si="92"/>
        <v>82.287936432394602</v>
      </c>
      <c r="AQ143">
        <f t="shared" si="102"/>
        <v>2</v>
      </c>
      <c r="AR143" t="str">
        <f t="shared" si="93"/>
        <v>HONEY-006</v>
      </c>
      <c r="AS143" s="15" t="s">
        <v>591</v>
      </c>
      <c r="AT143" s="15" t="s">
        <v>618</v>
      </c>
      <c r="AU143">
        <f t="shared" si="101"/>
        <v>86.956521739130437</v>
      </c>
      <c r="AV143">
        <f t="shared" si="94"/>
        <v>80</v>
      </c>
      <c r="AW143">
        <f t="shared" si="95"/>
        <v>96</v>
      </c>
      <c r="AX143">
        <f t="shared" si="96"/>
        <v>75</v>
      </c>
      <c r="AY143">
        <f t="shared" si="85"/>
        <v>99.960199920399845</v>
      </c>
      <c r="AZ143">
        <f t="shared" si="97"/>
        <v>50</v>
      </c>
      <c r="BA143">
        <f t="shared" si="98"/>
        <v>84.034966517759116</v>
      </c>
      <c r="BB143">
        <f t="shared" si="103"/>
        <v>1</v>
      </c>
      <c r="BC143" t="str">
        <f t="shared" si="99"/>
        <v>HONEY-006</v>
      </c>
    </row>
    <row r="144" spans="2:55" ht="39.6" x14ac:dyDescent="0.3">
      <c r="B144" s="5" t="s">
        <v>29</v>
      </c>
      <c r="C144" s="15" t="s">
        <v>591</v>
      </c>
      <c r="D144" s="5" t="s">
        <v>622</v>
      </c>
      <c r="E144" s="5" t="s">
        <v>623</v>
      </c>
      <c r="F144" s="5" t="s">
        <v>512</v>
      </c>
      <c r="G144" s="5">
        <v>600</v>
      </c>
      <c r="H144" s="5">
        <v>420</v>
      </c>
      <c r="I144" s="5">
        <v>50</v>
      </c>
      <c r="J144" s="5">
        <v>21000</v>
      </c>
      <c r="K144" s="5">
        <v>7</v>
      </c>
      <c r="L144" s="5">
        <v>3</v>
      </c>
      <c r="M144" s="5">
        <v>0.3</v>
      </c>
      <c r="N144" s="5">
        <v>95</v>
      </c>
      <c r="O144" s="5">
        <v>30</v>
      </c>
      <c r="P144" s="5" t="s">
        <v>353</v>
      </c>
      <c r="Q144" s="5">
        <v>9.1999999999999993</v>
      </c>
      <c r="R144" s="5">
        <v>8.9</v>
      </c>
      <c r="S144" s="5" t="s">
        <v>513</v>
      </c>
      <c r="T144" s="5">
        <v>9.8000000000000007</v>
      </c>
      <c r="U144" s="5" t="s">
        <v>53</v>
      </c>
      <c r="V144" s="5" t="s">
        <v>54</v>
      </c>
      <c r="W144" s="5">
        <v>1</v>
      </c>
      <c r="X144" s="5" t="s">
        <v>38</v>
      </c>
      <c r="Y144" s="5">
        <v>100</v>
      </c>
      <c r="Z144" s="5">
        <v>9.1999999999999993</v>
      </c>
      <c r="AA144" s="5" t="s">
        <v>624</v>
      </c>
      <c r="AB144" s="7">
        <v>0.15</v>
      </c>
      <c r="AC144" s="5" t="s">
        <v>625</v>
      </c>
      <c r="AD144" s="5" t="s">
        <v>626</v>
      </c>
      <c r="AF144" s="15" t="s">
        <v>591</v>
      </c>
      <c r="AG144" s="15" t="s">
        <v>623</v>
      </c>
      <c r="AH144">
        <f t="shared" si="100"/>
        <v>13.043478260869563</v>
      </c>
      <c r="AI144">
        <f t="shared" si="86"/>
        <v>92</v>
      </c>
      <c r="AJ144" s="12">
        <f t="shared" si="87"/>
        <v>94</v>
      </c>
      <c r="AK144">
        <f t="shared" si="88"/>
        <v>95</v>
      </c>
      <c r="AL144">
        <f t="shared" si="89"/>
        <v>65</v>
      </c>
      <c r="AM144">
        <f t="shared" si="90"/>
        <v>0</v>
      </c>
      <c r="AN144">
        <f t="shared" si="84"/>
        <v>99.990199980399964</v>
      </c>
      <c r="AO144">
        <f t="shared" si="91"/>
        <v>92</v>
      </c>
      <c r="AP144">
        <f t="shared" si="92"/>
        <v>65.950575564629389</v>
      </c>
      <c r="AQ144">
        <f t="shared" si="102"/>
        <v>8</v>
      </c>
      <c r="AR144" t="str">
        <f t="shared" si="93"/>
        <v>HONEY-007</v>
      </c>
      <c r="AS144" s="15" t="s">
        <v>591</v>
      </c>
      <c r="AT144" s="15" t="s">
        <v>623</v>
      </c>
      <c r="AU144">
        <f t="shared" si="101"/>
        <v>13.043478260869563</v>
      </c>
      <c r="AV144">
        <f t="shared" si="94"/>
        <v>65</v>
      </c>
      <c r="AW144">
        <f t="shared" si="95"/>
        <v>95</v>
      </c>
      <c r="AX144">
        <f t="shared" si="96"/>
        <v>92</v>
      </c>
      <c r="AY144">
        <f t="shared" si="85"/>
        <v>99.990199980399964</v>
      </c>
      <c r="AZ144">
        <f t="shared" si="97"/>
        <v>0</v>
      </c>
      <c r="BA144">
        <f t="shared" si="98"/>
        <v>57.962553477280863</v>
      </c>
      <c r="BB144">
        <f t="shared" si="103"/>
        <v>8</v>
      </c>
      <c r="BC144" t="str">
        <f t="shared" si="99"/>
        <v>HONEY-007</v>
      </c>
    </row>
    <row r="145" spans="2:55" ht="39.6" x14ac:dyDescent="0.3">
      <c r="B145" s="5" t="s">
        <v>29</v>
      </c>
      <c r="C145" s="15" t="s">
        <v>591</v>
      </c>
      <c r="D145" s="5" t="s">
        <v>627</v>
      </c>
      <c r="E145" s="5" t="s">
        <v>628</v>
      </c>
      <c r="F145" s="5" t="s">
        <v>78</v>
      </c>
      <c r="G145" s="5">
        <v>1400</v>
      </c>
      <c r="H145" s="5">
        <v>220</v>
      </c>
      <c r="I145" s="5">
        <v>500</v>
      </c>
      <c r="J145" s="5">
        <v>110000</v>
      </c>
      <c r="K145" s="5">
        <v>10</v>
      </c>
      <c r="L145" s="5">
        <v>5</v>
      </c>
      <c r="M145" s="5">
        <v>1.2</v>
      </c>
      <c r="N145" s="5">
        <v>88</v>
      </c>
      <c r="O145" s="5">
        <v>90</v>
      </c>
      <c r="P145" s="5" t="s">
        <v>359</v>
      </c>
      <c r="Q145" s="5">
        <v>6.8</v>
      </c>
      <c r="R145" s="5">
        <v>7.8</v>
      </c>
      <c r="S145" s="5" t="s">
        <v>54</v>
      </c>
      <c r="T145" s="5">
        <v>6.5</v>
      </c>
      <c r="U145" s="5" t="s">
        <v>174</v>
      </c>
      <c r="V145" s="5" t="s">
        <v>54</v>
      </c>
      <c r="W145" s="5">
        <v>3</v>
      </c>
      <c r="X145" s="5" t="s">
        <v>68</v>
      </c>
      <c r="Y145" s="5">
        <v>30</v>
      </c>
      <c r="Z145" s="5">
        <v>6.5</v>
      </c>
      <c r="AA145" s="5" t="s">
        <v>364</v>
      </c>
      <c r="AB145" s="7">
        <v>0.22</v>
      </c>
      <c r="AC145" s="5" t="s">
        <v>629</v>
      </c>
      <c r="AD145" s="5" t="s">
        <v>630</v>
      </c>
      <c r="AF145" s="15" t="s">
        <v>591</v>
      </c>
      <c r="AG145" s="15" t="s">
        <v>628</v>
      </c>
      <c r="AH145">
        <f t="shared" si="100"/>
        <v>100</v>
      </c>
      <c r="AI145">
        <f t="shared" si="86"/>
        <v>68</v>
      </c>
      <c r="AJ145" s="12">
        <f t="shared" si="87"/>
        <v>76</v>
      </c>
      <c r="AK145">
        <f t="shared" si="88"/>
        <v>88</v>
      </c>
      <c r="AL145">
        <f t="shared" si="89"/>
        <v>50</v>
      </c>
      <c r="AM145">
        <f t="shared" si="90"/>
        <v>0</v>
      </c>
      <c r="AN145">
        <f t="shared" si="84"/>
        <v>99.900199800399605</v>
      </c>
      <c r="AO145">
        <f t="shared" si="91"/>
        <v>65</v>
      </c>
      <c r="AP145">
        <f t="shared" si="92"/>
        <v>75.897005994011977</v>
      </c>
      <c r="AQ145">
        <f t="shared" si="102"/>
        <v>6</v>
      </c>
      <c r="AR145" t="str">
        <f t="shared" si="93"/>
        <v>HONEY-008</v>
      </c>
      <c r="AS145" s="15" t="s">
        <v>591</v>
      </c>
      <c r="AT145" s="15" t="s">
        <v>628</v>
      </c>
      <c r="AU145">
        <f t="shared" si="101"/>
        <v>100</v>
      </c>
      <c r="AV145">
        <f t="shared" si="94"/>
        <v>50</v>
      </c>
      <c r="AW145">
        <f t="shared" si="95"/>
        <v>88</v>
      </c>
      <c r="AX145">
        <f t="shared" si="96"/>
        <v>68</v>
      </c>
      <c r="AY145">
        <f t="shared" si="85"/>
        <v>99.900199800399605</v>
      </c>
      <c r="AZ145">
        <f t="shared" si="97"/>
        <v>0</v>
      </c>
      <c r="BA145">
        <f t="shared" si="98"/>
        <v>75.295009990019977</v>
      </c>
      <c r="BB145">
        <f t="shared" si="103"/>
        <v>5</v>
      </c>
      <c r="BC145" t="str">
        <f t="shared" si="99"/>
        <v>HONEY-008</v>
      </c>
    </row>
    <row r="146" spans="2:55" ht="39.6" x14ac:dyDescent="0.3">
      <c r="B146" s="5" t="s">
        <v>29</v>
      </c>
      <c r="C146" s="15" t="s">
        <v>591</v>
      </c>
      <c r="D146" s="5" t="s">
        <v>631</v>
      </c>
      <c r="E146" s="5" t="s">
        <v>632</v>
      </c>
      <c r="F146" s="5" t="s">
        <v>72</v>
      </c>
      <c r="G146" s="5">
        <v>15</v>
      </c>
      <c r="H146" s="5">
        <v>320</v>
      </c>
      <c r="I146" s="5">
        <v>100</v>
      </c>
      <c r="J146" s="5">
        <v>32000</v>
      </c>
      <c r="K146" s="5">
        <v>5</v>
      </c>
      <c r="L146" s="5">
        <v>2</v>
      </c>
      <c r="M146" s="5">
        <v>0.5</v>
      </c>
      <c r="N146" s="5">
        <v>97</v>
      </c>
      <c r="O146" s="5">
        <v>30</v>
      </c>
      <c r="P146" s="5" t="s">
        <v>633</v>
      </c>
      <c r="Q146" s="5">
        <v>8.5</v>
      </c>
      <c r="R146" s="5">
        <v>9.1</v>
      </c>
      <c r="S146" s="5" t="s">
        <v>67</v>
      </c>
      <c r="T146" s="5">
        <v>8.1999999999999993</v>
      </c>
      <c r="U146" s="5" t="s">
        <v>53</v>
      </c>
      <c r="V146" s="5" t="s">
        <v>54</v>
      </c>
      <c r="W146" s="5">
        <v>1</v>
      </c>
      <c r="X146" s="5" t="s">
        <v>38</v>
      </c>
      <c r="Y146" s="5">
        <v>75</v>
      </c>
      <c r="Z146" s="5">
        <v>8.8000000000000007</v>
      </c>
      <c r="AA146" s="5" t="s">
        <v>634</v>
      </c>
      <c r="AB146" s="6">
        <v>0.185</v>
      </c>
      <c r="AC146" s="5" t="s">
        <v>635</v>
      </c>
      <c r="AD146" s="5" t="s">
        <v>636</v>
      </c>
      <c r="AF146" s="15" t="s">
        <v>591</v>
      </c>
      <c r="AG146" s="15" t="s">
        <v>632</v>
      </c>
      <c r="AH146">
        <f t="shared" si="100"/>
        <v>56.521739130434781</v>
      </c>
      <c r="AI146">
        <f t="shared" si="86"/>
        <v>85</v>
      </c>
      <c r="AJ146" s="12">
        <f t="shared" si="87"/>
        <v>90</v>
      </c>
      <c r="AK146">
        <f t="shared" si="88"/>
        <v>97</v>
      </c>
      <c r="AL146">
        <f t="shared" si="89"/>
        <v>75</v>
      </c>
      <c r="AM146">
        <f t="shared" si="90"/>
        <v>97</v>
      </c>
      <c r="AN146">
        <f t="shared" si="84"/>
        <v>99.980199960399915</v>
      </c>
      <c r="AO146">
        <f t="shared" si="91"/>
        <v>88</v>
      </c>
      <c r="AP146">
        <f t="shared" si="92"/>
        <v>80.539840781420693</v>
      </c>
      <c r="AQ146">
        <f t="shared" si="102"/>
        <v>3</v>
      </c>
      <c r="AR146" t="str">
        <f t="shared" si="93"/>
        <v>HONEY-009</v>
      </c>
      <c r="AS146" s="15" t="s">
        <v>591</v>
      </c>
      <c r="AT146" s="15" t="s">
        <v>632</v>
      </c>
      <c r="AU146">
        <f t="shared" si="101"/>
        <v>56.521739130434781</v>
      </c>
      <c r="AV146">
        <f t="shared" si="94"/>
        <v>75</v>
      </c>
      <c r="AW146">
        <f t="shared" si="95"/>
        <v>97</v>
      </c>
      <c r="AX146">
        <f t="shared" si="96"/>
        <v>85</v>
      </c>
      <c r="AY146">
        <f t="shared" si="85"/>
        <v>99.980199960399915</v>
      </c>
      <c r="AZ146">
        <f t="shared" si="97"/>
        <v>97</v>
      </c>
      <c r="BA146">
        <f t="shared" si="98"/>
        <v>77.705531737150437</v>
      </c>
      <c r="BB146">
        <f t="shared" si="103"/>
        <v>4</v>
      </c>
      <c r="BC146" t="str">
        <f t="shared" si="99"/>
        <v>HONEY-009</v>
      </c>
    </row>
    <row r="147" spans="2:55" ht="39.6" x14ac:dyDescent="0.3">
      <c r="B147" s="5" t="s">
        <v>29</v>
      </c>
      <c r="C147" s="15" t="s">
        <v>591</v>
      </c>
      <c r="D147" s="5" t="s">
        <v>637</v>
      </c>
      <c r="E147" s="5" t="s">
        <v>638</v>
      </c>
      <c r="F147" s="5" t="s">
        <v>84</v>
      </c>
      <c r="G147" s="5">
        <v>150</v>
      </c>
      <c r="H147" s="5">
        <v>450</v>
      </c>
      <c r="I147" s="5">
        <v>30</v>
      </c>
      <c r="J147" s="5">
        <v>13500</v>
      </c>
      <c r="K147" s="5">
        <v>14</v>
      </c>
      <c r="L147" s="5">
        <v>7</v>
      </c>
      <c r="M147" s="5">
        <v>0.1</v>
      </c>
      <c r="N147" s="5">
        <v>93</v>
      </c>
      <c r="O147" s="5" t="s">
        <v>154</v>
      </c>
      <c r="P147" s="5" t="s">
        <v>301</v>
      </c>
      <c r="Q147" s="5">
        <v>9.5</v>
      </c>
      <c r="R147" s="5">
        <v>8.3000000000000007</v>
      </c>
      <c r="S147" s="5" t="s">
        <v>639</v>
      </c>
      <c r="T147" s="5">
        <v>9.5</v>
      </c>
      <c r="U147" s="5" t="s">
        <v>36</v>
      </c>
      <c r="V147" s="5" t="s">
        <v>37</v>
      </c>
      <c r="W147" s="5">
        <v>1</v>
      </c>
      <c r="X147" s="5" t="s">
        <v>38</v>
      </c>
      <c r="Y147" s="5">
        <v>200</v>
      </c>
      <c r="Z147" s="5">
        <v>8.3000000000000007</v>
      </c>
      <c r="AA147" s="5" t="s">
        <v>640</v>
      </c>
      <c r="AB147" s="7">
        <v>0.14000000000000001</v>
      </c>
      <c r="AC147" s="5" t="s">
        <v>641</v>
      </c>
      <c r="AD147" s="5" t="s">
        <v>642</v>
      </c>
      <c r="AF147" s="15" t="s">
        <v>591</v>
      </c>
      <c r="AG147" s="15" t="s">
        <v>638</v>
      </c>
      <c r="AH147">
        <f t="shared" si="100"/>
        <v>0</v>
      </c>
      <c r="AI147">
        <f t="shared" si="86"/>
        <v>95</v>
      </c>
      <c r="AJ147" s="12">
        <f t="shared" si="87"/>
        <v>98</v>
      </c>
      <c r="AK147">
        <f t="shared" si="88"/>
        <v>93</v>
      </c>
      <c r="AL147">
        <f t="shared" si="89"/>
        <v>30</v>
      </c>
      <c r="AM147">
        <f t="shared" si="90"/>
        <v>70</v>
      </c>
      <c r="AN147">
        <f t="shared" si="84"/>
        <v>99.99419998839997</v>
      </c>
      <c r="AO147">
        <f t="shared" si="91"/>
        <v>83</v>
      </c>
      <c r="AP147">
        <f t="shared" si="92"/>
        <v>63.559825999652006</v>
      </c>
      <c r="AQ147">
        <f t="shared" si="102"/>
        <v>10</v>
      </c>
      <c r="AR147" t="str">
        <f t="shared" si="93"/>
        <v>HONEY-010</v>
      </c>
      <c r="AS147" s="15" t="s">
        <v>591</v>
      </c>
      <c r="AT147" s="15" t="s">
        <v>638</v>
      </c>
      <c r="AU147">
        <f t="shared" si="101"/>
        <v>0</v>
      </c>
      <c r="AV147">
        <f t="shared" si="94"/>
        <v>30</v>
      </c>
      <c r="AW147">
        <f t="shared" si="95"/>
        <v>93</v>
      </c>
      <c r="AX147">
        <f t="shared" si="96"/>
        <v>95</v>
      </c>
      <c r="AY147">
        <f t="shared" si="85"/>
        <v>99.99419998839997</v>
      </c>
      <c r="AZ147">
        <f t="shared" si="97"/>
        <v>70</v>
      </c>
      <c r="BA147">
        <f t="shared" si="98"/>
        <v>48.84970999942</v>
      </c>
      <c r="BB147">
        <f t="shared" si="103"/>
        <v>10</v>
      </c>
      <c r="BC147" t="str">
        <f t="shared" si="99"/>
        <v>HONEY-010</v>
      </c>
    </row>
    <row r="148" spans="2:55" ht="39.6" x14ac:dyDescent="0.3">
      <c r="B148" s="5" t="s">
        <v>29</v>
      </c>
      <c r="C148" s="15" t="s">
        <v>643</v>
      </c>
      <c r="D148" s="5" t="s">
        <v>644</v>
      </c>
      <c r="E148" s="5" t="s">
        <v>645</v>
      </c>
      <c r="F148" s="5" t="s">
        <v>50</v>
      </c>
      <c r="G148" s="5">
        <v>150</v>
      </c>
      <c r="H148" s="5">
        <v>98</v>
      </c>
      <c r="I148" s="5">
        <v>200</v>
      </c>
      <c r="J148" s="5">
        <v>19600</v>
      </c>
      <c r="K148" s="5">
        <v>21</v>
      </c>
      <c r="L148" s="5">
        <v>10</v>
      </c>
      <c r="M148" s="5">
        <v>0.3</v>
      </c>
      <c r="N148" s="5">
        <v>90</v>
      </c>
      <c r="O148" s="5" t="s">
        <v>154</v>
      </c>
      <c r="P148" s="5" t="s">
        <v>60</v>
      </c>
      <c r="Q148" s="5">
        <v>8.5</v>
      </c>
      <c r="R148" s="5">
        <v>7.5</v>
      </c>
      <c r="S148" s="5" t="s">
        <v>646</v>
      </c>
      <c r="T148" s="5">
        <v>9</v>
      </c>
      <c r="U148" s="5" t="s">
        <v>36</v>
      </c>
      <c r="V148" s="5" t="s">
        <v>37</v>
      </c>
      <c r="W148" s="5">
        <v>1</v>
      </c>
      <c r="X148" s="5" t="s">
        <v>38</v>
      </c>
      <c r="Y148" s="5">
        <v>60</v>
      </c>
      <c r="Z148" s="5">
        <v>7.5</v>
      </c>
      <c r="AA148" s="5" t="s">
        <v>647</v>
      </c>
      <c r="AB148" s="6">
        <v>1E-3</v>
      </c>
      <c r="AC148" s="5" t="s">
        <v>648</v>
      </c>
      <c r="AD148" s="5" t="s">
        <v>649</v>
      </c>
      <c r="AF148" s="15" t="s">
        <v>643</v>
      </c>
      <c r="AG148" s="15" t="s">
        <v>645</v>
      </c>
      <c r="AH148">
        <f t="shared" ref="AH148:AH155" si="104">100-((H148-MIN($H$148:$H$155))/(MAX($H$148:$H$155)-MIN($H$148:$H$155))*100)</f>
        <v>64.912280701754383</v>
      </c>
      <c r="AI148">
        <f t="shared" si="86"/>
        <v>85</v>
      </c>
      <c r="AJ148" s="12">
        <f t="shared" si="87"/>
        <v>94</v>
      </c>
      <c r="AK148">
        <f t="shared" si="88"/>
        <v>90</v>
      </c>
      <c r="AL148">
        <f t="shared" si="89"/>
        <v>0</v>
      </c>
      <c r="AM148">
        <f t="shared" si="90"/>
        <v>70</v>
      </c>
      <c r="AN148">
        <f t="shared" si="84"/>
        <v>99.960199920399845</v>
      </c>
      <c r="AO148">
        <f t="shared" si="91"/>
        <v>75</v>
      </c>
      <c r="AP148">
        <f t="shared" si="92"/>
        <v>73.076876173050593</v>
      </c>
      <c r="AQ148">
        <f>RANK(AP148, $AP$148:$AP$155, 0)</f>
        <v>4</v>
      </c>
      <c r="AR148" t="str">
        <f t="shared" si="93"/>
        <v>PALM-001</v>
      </c>
      <c r="AS148" s="15" t="s">
        <v>643</v>
      </c>
      <c r="AT148" s="15" t="s">
        <v>645</v>
      </c>
      <c r="AU148">
        <f t="shared" ref="AU148:AU155" si="105">100-((H148-MIN($H$148:$H$155))/(MAX($H$148:$H$155)-MIN($H$148:$H$155))*100)</f>
        <v>64.912280701754383</v>
      </c>
      <c r="AV148">
        <f t="shared" si="94"/>
        <v>0</v>
      </c>
      <c r="AW148">
        <f t="shared" si="95"/>
        <v>90</v>
      </c>
      <c r="AX148">
        <f t="shared" si="96"/>
        <v>85</v>
      </c>
      <c r="AY148">
        <f t="shared" si="85"/>
        <v>99.960199920399845</v>
      </c>
      <c r="AZ148">
        <f t="shared" si="97"/>
        <v>70</v>
      </c>
      <c r="BA148">
        <f t="shared" si="98"/>
        <v>58.72169420654631</v>
      </c>
      <c r="BB148">
        <f>RANK(BA148, $BA$148:$BA$155, 0)</f>
        <v>4</v>
      </c>
      <c r="BC148" t="str">
        <f t="shared" si="99"/>
        <v>PALM-001</v>
      </c>
    </row>
    <row r="149" spans="2:55" ht="39.6" x14ac:dyDescent="0.3">
      <c r="B149" s="5" t="s">
        <v>29</v>
      </c>
      <c r="C149" s="15" t="s">
        <v>643</v>
      </c>
      <c r="D149" s="5" t="s">
        <v>650</v>
      </c>
      <c r="E149" s="5" t="s">
        <v>651</v>
      </c>
      <c r="F149" s="5" t="s">
        <v>50</v>
      </c>
      <c r="G149" s="5">
        <v>150</v>
      </c>
      <c r="H149" s="5">
        <v>105</v>
      </c>
      <c r="I149" s="5">
        <v>150</v>
      </c>
      <c r="J149" s="5">
        <v>15750</v>
      </c>
      <c r="K149" s="5">
        <v>14</v>
      </c>
      <c r="L149" s="5">
        <v>7</v>
      </c>
      <c r="M149" s="5">
        <v>0.2</v>
      </c>
      <c r="N149" s="5">
        <v>92</v>
      </c>
      <c r="O149" s="5">
        <v>30</v>
      </c>
      <c r="P149" s="5" t="s">
        <v>73</v>
      </c>
      <c r="Q149" s="5">
        <v>9.1999999999999993</v>
      </c>
      <c r="R149" s="5">
        <v>8.5</v>
      </c>
      <c r="S149" s="5" t="s">
        <v>424</v>
      </c>
      <c r="T149" s="5">
        <v>9.5</v>
      </c>
      <c r="U149" s="5" t="s">
        <v>36</v>
      </c>
      <c r="V149" s="5" t="s">
        <v>46</v>
      </c>
      <c r="W149" s="5">
        <v>2</v>
      </c>
      <c r="X149" s="5" t="s">
        <v>38</v>
      </c>
      <c r="Y149" s="5">
        <v>45</v>
      </c>
      <c r="Z149" s="5">
        <v>8</v>
      </c>
      <c r="AA149" s="5" t="s">
        <v>647</v>
      </c>
      <c r="AB149" s="6">
        <v>8.0000000000000004E-4</v>
      </c>
      <c r="AC149" s="5" t="s">
        <v>652</v>
      </c>
      <c r="AD149" s="5" t="s">
        <v>653</v>
      </c>
      <c r="AF149" s="15" t="s">
        <v>643</v>
      </c>
      <c r="AG149" s="15" t="s">
        <v>651</v>
      </c>
      <c r="AH149">
        <f t="shared" si="104"/>
        <v>52.631578947368425</v>
      </c>
      <c r="AI149">
        <f t="shared" si="86"/>
        <v>92</v>
      </c>
      <c r="AJ149" s="12">
        <f t="shared" si="87"/>
        <v>96</v>
      </c>
      <c r="AK149">
        <f t="shared" si="88"/>
        <v>92</v>
      </c>
      <c r="AL149">
        <f t="shared" si="89"/>
        <v>30</v>
      </c>
      <c r="AM149">
        <f t="shared" si="90"/>
        <v>70</v>
      </c>
      <c r="AN149">
        <f t="shared" si="84"/>
        <v>99.97019994039988</v>
      </c>
      <c r="AO149">
        <f t="shared" si="91"/>
        <v>80</v>
      </c>
      <c r="AP149">
        <f t="shared" si="92"/>
        <v>75.457000735054109</v>
      </c>
      <c r="AQ149">
        <f t="shared" ref="AQ149:AQ155" si="106">RANK(AP149, $AP$148:$AP$155, 0)</f>
        <v>2</v>
      </c>
      <c r="AR149" t="str">
        <f t="shared" si="93"/>
        <v>PALM-002</v>
      </c>
      <c r="AS149" s="15" t="s">
        <v>643</v>
      </c>
      <c r="AT149" s="15" t="s">
        <v>651</v>
      </c>
      <c r="AU149">
        <f t="shared" si="105"/>
        <v>52.631578947368425</v>
      </c>
      <c r="AV149">
        <f t="shared" si="94"/>
        <v>30</v>
      </c>
      <c r="AW149">
        <f t="shared" si="95"/>
        <v>92</v>
      </c>
      <c r="AX149">
        <f t="shared" si="96"/>
        <v>92</v>
      </c>
      <c r="AY149">
        <f t="shared" si="85"/>
        <v>99.97019994039988</v>
      </c>
      <c r="AZ149">
        <f t="shared" si="97"/>
        <v>70</v>
      </c>
      <c r="BA149">
        <f t="shared" si="98"/>
        <v>63.987983681230517</v>
      </c>
      <c r="BB149">
        <f t="shared" ref="BB149:BB155" si="107">RANK(BA149, $BA$148:$BA$155, 0)</f>
        <v>3</v>
      </c>
      <c r="BC149" t="str">
        <f t="shared" si="99"/>
        <v>PALM-002</v>
      </c>
    </row>
    <row r="150" spans="2:55" ht="39.6" x14ac:dyDescent="0.3">
      <c r="B150" s="5" t="s">
        <v>29</v>
      </c>
      <c r="C150" s="15" t="s">
        <v>643</v>
      </c>
      <c r="D150" s="5" t="s">
        <v>654</v>
      </c>
      <c r="E150" s="5" t="s">
        <v>655</v>
      </c>
      <c r="F150" s="5" t="s">
        <v>72</v>
      </c>
      <c r="G150" s="5">
        <v>20</v>
      </c>
      <c r="H150" s="5">
        <v>85</v>
      </c>
      <c r="I150" s="5">
        <v>100</v>
      </c>
      <c r="J150" s="5">
        <v>8500</v>
      </c>
      <c r="K150" s="5">
        <v>7</v>
      </c>
      <c r="L150" s="5">
        <v>3</v>
      </c>
      <c r="M150" s="5">
        <v>0.5</v>
      </c>
      <c r="N150" s="5">
        <v>98</v>
      </c>
      <c r="O150" s="5">
        <v>30</v>
      </c>
      <c r="P150" s="5" t="s">
        <v>34</v>
      </c>
      <c r="Q150" s="5">
        <v>8</v>
      </c>
      <c r="R150" s="5">
        <v>9.6999999999999993</v>
      </c>
      <c r="S150" s="5" t="s">
        <v>67</v>
      </c>
      <c r="T150" s="5">
        <v>6.5</v>
      </c>
      <c r="U150" s="5" t="s">
        <v>53</v>
      </c>
      <c r="V150" s="5" t="s">
        <v>54</v>
      </c>
      <c r="W150" s="5">
        <v>1</v>
      </c>
      <c r="X150" s="5" t="s">
        <v>38</v>
      </c>
      <c r="Y150" s="5">
        <v>20</v>
      </c>
      <c r="Z150" s="5">
        <v>9</v>
      </c>
      <c r="AA150" s="5" t="s">
        <v>656</v>
      </c>
      <c r="AB150" s="6">
        <v>3.0000000000000001E-3</v>
      </c>
      <c r="AC150" s="5" t="s">
        <v>657</v>
      </c>
      <c r="AD150" s="5" t="s">
        <v>658</v>
      </c>
      <c r="AF150" s="15" t="s">
        <v>643</v>
      </c>
      <c r="AG150" s="15" t="s">
        <v>655</v>
      </c>
      <c r="AH150">
        <f t="shared" si="104"/>
        <v>87.719298245614041</v>
      </c>
      <c r="AI150">
        <f t="shared" si="86"/>
        <v>80</v>
      </c>
      <c r="AJ150" s="12">
        <f t="shared" si="87"/>
        <v>90</v>
      </c>
      <c r="AK150">
        <f t="shared" si="88"/>
        <v>98</v>
      </c>
      <c r="AL150">
        <f t="shared" si="89"/>
        <v>65</v>
      </c>
      <c r="AM150">
        <f t="shared" si="90"/>
        <v>96</v>
      </c>
      <c r="AN150">
        <f t="shared" si="84"/>
        <v>99.980199960399915</v>
      </c>
      <c r="AO150">
        <f t="shared" si="91"/>
        <v>90</v>
      </c>
      <c r="AP150">
        <f t="shared" si="92"/>
        <v>86.229230560215498</v>
      </c>
      <c r="AQ150">
        <f t="shared" si="106"/>
        <v>1</v>
      </c>
      <c r="AR150" t="str">
        <f t="shared" si="93"/>
        <v>PALM-003</v>
      </c>
      <c r="AS150" s="15" t="s">
        <v>643</v>
      </c>
      <c r="AT150" s="15" t="s">
        <v>655</v>
      </c>
      <c r="AU150">
        <f t="shared" si="105"/>
        <v>87.719298245614041</v>
      </c>
      <c r="AV150">
        <f t="shared" si="94"/>
        <v>65</v>
      </c>
      <c r="AW150">
        <f t="shared" si="95"/>
        <v>98</v>
      </c>
      <c r="AX150">
        <f t="shared" si="96"/>
        <v>80</v>
      </c>
      <c r="AY150">
        <f t="shared" si="85"/>
        <v>99.980199960399915</v>
      </c>
      <c r="AZ150">
        <f t="shared" si="97"/>
        <v>96</v>
      </c>
      <c r="BA150">
        <f t="shared" si="98"/>
        <v>83.964799471704211</v>
      </c>
      <c r="BB150">
        <f t="shared" si="107"/>
        <v>1</v>
      </c>
      <c r="BC150" t="str">
        <f t="shared" si="99"/>
        <v>PALM-003</v>
      </c>
    </row>
    <row r="151" spans="2:55" ht="39.6" x14ac:dyDescent="0.3">
      <c r="B151" s="5" t="s">
        <v>29</v>
      </c>
      <c r="C151" s="15" t="s">
        <v>643</v>
      </c>
      <c r="D151" s="5" t="s">
        <v>659</v>
      </c>
      <c r="E151" s="5" t="s">
        <v>660</v>
      </c>
      <c r="F151" s="5" t="s">
        <v>50</v>
      </c>
      <c r="G151" s="5">
        <v>150</v>
      </c>
      <c r="H151" s="5">
        <v>120</v>
      </c>
      <c r="I151" s="5">
        <v>50</v>
      </c>
      <c r="J151" s="5">
        <v>6000</v>
      </c>
      <c r="K151" s="5">
        <v>30</v>
      </c>
      <c r="L151" s="5">
        <v>15</v>
      </c>
      <c r="M151" s="5">
        <v>0.1</v>
      </c>
      <c r="N151" s="5">
        <v>88</v>
      </c>
      <c r="O151" s="5" t="s">
        <v>154</v>
      </c>
      <c r="P151" s="5" t="s">
        <v>107</v>
      </c>
      <c r="Q151" s="5">
        <v>9.5</v>
      </c>
      <c r="R151" s="5">
        <v>7</v>
      </c>
      <c r="S151" s="5" t="s">
        <v>62</v>
      </c>
      <c r="T151" s="5">
        <v>9.8000000000000007</v>
      </c>
      <c r="U151" s="5" t="s">
        <v>53</v>
      </c>
      <c r="V151" s="5" t="s">
        <v>54</v>
      </c>
      <c r="W151" s="5">
        <v>1</v>
      </c>
      <c r="X151" s="5" t="s">
        <v>38</v>
      </c>
      <c r="Y151" s="5">
        <v>90</v>
      </c>
      <c r="Z151" s="5">
        <v>7</v>
      </c>
      <c r="AA151" s="5" t="s">
        <v>62</v>
      </c>
      <c r="AB151" s="6">
        <v>5.0000000000000001E-4</v>
      </c>
      <c r="AC151" s="5" t="s">
        <v>661</v>
      </c>
      <c r="AD151" s="5" t="s">
        <v>662</v>
      </c>
      <c r="AF151" s="15" t="s">
        <v>643</v>
      </c>
      <c r="AG151" s="15" t="s">
        <v>660</v>
      </c>
      <c r="AH151">
        <f t="shared" si="104"/>
        <v>26.31578947368422</v>
      </c>
      <c r="AI151">
        <f t="shared" si="86"/>
        <v>95</v>
      </c>
      <c r="AJ151" s="12">
        <f t="shared" si="87"/>
        <v>98</v>
      </c>
      <c r="AK151">
        <f t="shared" si="88"/>
        <v>88</v>
      </c>
      <c r="AL151">
        <f t="shared" si="89"/>
        <v>0</v>
      </c>
      <c r="AM151">
        <f t="shared" si="90"/>
        <v>70</v>
      </c>
      <c r="AN151">
        <f t="shared" si="84"/>
        <v>99.990199980399964</v>
      </c>
      <c r="AO151">
        <f t="shared" si="91"/>
        <v>70</v>
      </c>
      <c r="AP151">
        <f t="shared" si="92"/>
        <v>66.128653367833067</v>
      </c>
      <c r="AQ151">
        <f t="shared" si="106"/>
        <v>7</v>
      </c>
      <c r="AR151" t="str">
        <f t="shared" si="93"/>
        <v>PALM-004</v>
      </c>
      <c r="AS151" s="15" t="s">
        <v>643</v>
      </c>
      <c r="AT151" s="15" t="s">
        <v>660</v>
      </c>
      <c r="AU151">
        <f t="shared" si="105"/>
        <v>26.31578947368422</v>
      </c>
      <c r="AV151">
        <f t="shared" si="94"/>
        <v>0</v>
      </c>
      <c r="AW151">
        <f t="shared" si="95"/>
        <v>88</v>
      </c>
      <c r="AX151">
        <f t="shared" si="96"/>
        <v>95</v>
      </c>
      <c r="AY151">
        <f t="shared" si="85"/>
        <v>99.990199980399964</v>
      </c>
      <c r="AZ151">
        <f t="shared" si="97"/>
        <v>70</v>
      </c>
      <c r="BA151">
        <f t="shared" si="98"/>
        <v>48.244246841125268</v>
      </c>
      <c r="BB151">
        <f t="shared" si="107"/>
        <v>7</v>
      </c>
      <c r="BC151" t="str">
        <f t="shared" si="99"/>
        <v>PALM-004</v>
      </c>
    </row>
    <row r="152" spans="2:55" ht="39.6" x14ac:dyDescent="0.3">
      <c r="B152" s="5" t="s">
        <v>29</v>
      </c>
      <c r="C152" s="15" t="s">
        <v>643</v>
      </c>
      <c r="D152" s="5" t="s">
        <v>663</v>
      </c>
      <c r="E152" s="5" t="s">
        <v>664</v>
      </c>
      <c r="F152" s="5" t="s">
        <v>84</v>
      </c>
      <c r="G152" s="5">
        <v>150</v>
      </c>
      <c r="H152" s="5">
        <v>115</v>
      </c>
      <c r="I152" s="5">
        <v>100</v>
      </c>
      <c r="J152" s="5">
        <v>11500</v>
      </c>
      <c r="K152" s="5">
        <v>21</v>
      </c>
      <c r="L152" s="5">
        <v>10</v>
      </c>
      <c r="M152" s="5">
        <v>0.15</v>
      </c>
      <c r="N152" s="5">
        <v>91</v>
      </c>
      <c r="O152" s="5" t="s">
        <v>294</v>
      </c>
      <c r="P152" s="5" t="s">
        <v>118</v>
      </c>
      <c r="Q152" s="5">
        <v>9</v>
      </c>
      <c r="R152" s="5">
        <v>8</v>
      </c>
      <c r="S152" s="5" t="s">
        <v>646</v>
      </c>
      <c r="T152" s="5">
        <v>9.1999999999999993</v>
      </c>
      <c r="U152" s="5" t="s">
        <v>36</v>
      </c>
      <c r="V152" s="5" t="s">
        <v>37</v>
      </c>
      <c r="W152" s="5">
        <v>1</v>
      </c>
      <c r="X152" s="5" t="s">
        <v>38</v>
      </c>
      <c r="Y152" s="5">
        <v>75</v>
      </c>
      <c r="Z152" s="5">
        <v>7.8</v>
      </c>
      <c r="AA152" s="5" t="s">
        <v>665</v>
      </c>
      <c r="AB152" s="6">
        <v>6.9999999999999999E-4</v>
      </c>
      <c r="AC152" s="5" t="s">
        <v>666</v>
      </c>
      <c r="AD152" s="5" t="s">
        <v>667</v>
      </c>
      <c r="AF152" s="15" t="s">
        <v>643</v>
      </c>
      <c r="AG152" s="15" t="s">
        <v>664</v>
      </c>
      <c r="AH152">
        <f t="shared" si="104"/>
        <v>35.087719298245617</v>
      </c>
      <c r="AI152">
        <f t="shared" si="86"/>
        <v>90</v>
      </c>
      <c r="AJ152" s="12">
        <f t="shared" si="87"/>
        <v>97</v>
      </c>
      <c r="AK152">
        <f t="shared" si="88"/>
        <v>91</v>
      </c>
      <c r="AL152">
        <f t="shared" si="89"/>
        <v>0</v>
      </c>
      <c r="AM152">
        <f t="shared" si="90"/>
        <v>70</v>
      </c>
      <c r="AN152">
        <f t="shared" si="84"/>
        <v>99.980199960399915</v>
      </c>
      <c r="AO152">
        <f t="shared" si="91"/>
        <v>78</v>
      </c>
      <c r="AP152">
        <f t="shared" si="92"/>
        <v>67.531335823373396</v>
      </c>
      <c r="AQ152">
        <f t="shared" si="106"/>
        <v>6</v>
      </c>
      <c r="AR152" t="str">
        <f t="shared" si="93"/>
        <v>PALM-005</v>
      </c>
      <c r="AS152" s="15" t="s">
        <v>643</v>
      </c>
      <c r="AT152" s="15" t="s">
        <v>664</v>
      </c>
      <c r="AU152">
        <f t="shared" si="105"/>
        <v>35.087719298245617</v>
      </c>
      <c r="AV152">
        <f t="shared" si="94"/>
        <v>0</v>
      </c>
      <c r="AW152">
        <f t="shared" si="95"/>
        <v>91</v>
      </c>
      <c r="AX152">
        <f t="shared" si="96"/>
        <v>90</v>
      </c>
      <c r="AY152">
        <f t="shared" si="85"/>
        <v>99.980199960399915</v>
      </c>
      <c r="AZ152">
        <f t="shared" si="97"/>
        <v>70</v>
      </c>
      <c r="BA152">
        <f t="shared" si="98"/>
        <v>50.725325787493688</v>
      </c>
      <c r="BB152">
        <f t="shared" si="107"/>
        <v>6</v>
      </c>
      <c r="BC152" t="str">
        <f t="shared" si="99"/>
        <v>PALM-005</v>
      </c>
    </row>
    <row r="153" spans="2:55" ht="39.6" x14ac:dyDescent="0.3">
      <c r="B153" s="5" t="s">
        <v>29</v>
      </c>
      <c r="C153" s="15" t="s">
        <v>643</v>
      </c>
      <c r="D153" s="5" t="s">
        <v>668</v>
      </c>
      <c r="E153" s="5" t="s">
        <v>669</v>
      </c>
      <c r="F153" s="5" t="s">
        <v>78</v>
      </c>
      <c r="G153" s="5">
        <v>1400</v>
      </c>
      <c r="H153" s="5">
        <v>78</v>
      </c>
      <c r="I153" s="5">
        <v>500</v>
      </c>
      <c r="J153" s="5">
        <v>39000</v>
      </c>
      <c r="K153" s="5">
        <v>14</v>
      </c>
      <c r="L153" s="5">
        <v>7</v>
      </c>
      <c r="M153" s="5">
        <v>0.8</v>
      </c>
      <c r="N153" s="5">
        <v>85</v>
      </c>
      <c r="O153" s="5">
        <v>90</v>
      </c>
      <c r="P153" s="5" t="s">
        <v>94</v>
      </c>
      <c r="Q153" s="5">
        <v>7</v>
      </c>
      <c r="R153" s="5">
        <v>7.8</v>
      </c>
      <c r="S153" s="5" t="s">
        <v>54</v>
      </c>
      <c r="T153" s="5">
        <v>5.5</v>
      </c>
      <c r="U153" s="5" t="s">
        <v>174</v>
      </c>
      <c r="V153" s="5" t="s">
        <v>54</v>
      </c>
      <c r="W153" s="5">
        <v>3</v>
      </c>
      <c r="X153" s="5" t="s">
        <v>68</v>
      </c>
      <c r="Y153" s="5">
        <v>15</v>
      </c>
      <c r="Z153" s="5">
        <v>6.5</v>
      </c>
      <c r="AA153" s="5" t="s">
        <v>656</v>
      </c>
      <c r="AB153" s="6">
        <v>5.0000000000000001E-3</v>
      </c>
      <c r="AC153" s="5" t="s">
        <v>670</v>
      </c>
      <c r="AD153" s="5" t="s">
        <v>671</v>
      </c>
      <c r="AF153" s="15" t="s">
        <v>643</v>
      </c>
      <c r="AG153" s="15" t="s">
        <v>669</v>
      </c>
      <c r="AH153">
        <f t="shared" si="104"/>
        <v>100</v>
      </c>
      <c r="AI153">
        <f t="shared" si="86"/>
        <v>70</v>
      </c>
      <c r="AJ153" s="12">
        <f t="shared" si="87"/>
        <v>84</v>
      </c>
      <c r="AK153">
        <f t="shared" si="88"/>
        <v>85</v>
      </c>
      <c r="AL153">
        <f t="shared" si="89"/>
        <v>30</v>
      </c>
      <c r="AM153">
        <f t="shared" si="90"/>
        <v>0</v>
      </c>
      <c r="AN153">
        <f t="shared" si="84"/>
        <v>99.900199800399605</v>
      </c>
      <c r="AO153">
        <f t="shared" si="91"/>
        <v>65</v>
      </c>
      <c r="AP153">
        <f t="shared" si="92"/>
        <v>75.147005994011977</v>
      </c>
      <c r="AQ153">
        <f t="shared" si="106"/>
        <v>3</v>
      </c>
      <c r="AR153" t="str">
        <f t="shared" si="93"/>
        <v>PALM-006</v>
      </c>
      <c r="AS153" s="15" t="s">
        <v>643</v>
      </c>
      <c r="AT153" s="15" t="s">
        <v>669</v>
      </c>
      <c r="AU153">
        <f t="shared" si="105"/>
        <v>100</v>
      </c>
      <c r="AV153">
        <f t="shared" si="94"/>
        <v>30</v>
      </c>
      <c r="AW153">
        <f t="shared" si="95"/>
        <v>85</v>
      </c>
      <c r="AX153">
        <f t="shared" si="96"/>
        <v>70</v>
      </c>
      <c r="AY153">
        <f t="shared" si="85"/>
        <v>99.900199800399605</v>
      </c>
      <c r="AZ153">
        <f t="shared" si="97"/>
        <v>0</v>
      </c>
      <c r="BA153">
        <f t="shared" si="98"/>
        <v>69.99500999001998</v>
      </c>
      <c r="BB153">
        <f t="shared" si="107"/>
        <v>2</v>
      </c>
      <c r="BC153" t="str">
        <f t="shared" si="99"/>
        <v>PALM-006</v>
      </c>
    </row>
    <row r="154" spans="2:55" ht="39.6" x14ac:dyDescent="0.3">
      <c r="B154" s="5" t="s">
        <v>29</v>
      </c>
      <c r="C154" s="15" t="s">
        <v>643</v>
      </c>
      <c r="D154" s="5" t="s">
        <v>672</v>
      </c>
      <c r="E154" s="5" t="s">
        <v>673</v>
      </c>
      <c r="F154" s="5" t="s">
        <v>50</v>
      </c>
      <c r="G154" s="5">
        <v>150</v>
      </c>
      <c r="H154" s="5">
        <v>135</v>
      </c>
      <c r="I154" s="5">
        <v>80</v>
      </c>
      <c r="J154" s="5">
        <v>10800</v>
      </c>
      <c r="K154" s="5">
        <v>30</v>
      </c>
      <c r="L154" s="5">
        <v>15</v>
      </c>
      <c r="M154" s="5">
        <v>0.2</v>
      </c>
      <c r="N154" s="5">
        <v>89</v>
      </c>
      <c r="O154" s="5" t="s">
        <v>154</v>
      </c>
      <c r="P154" s="5" t="s">
        <v>88</v>
      </c>
      <c r="Q154" s="5">
        <v>8.8000000000000007</v>
      </c>
      <c r="R154" s="5">
        <v>7.8</v>
      </c>
      <c r="S154" s="5" t="s">
        <v>156</v>
      </c>
      <c r="T154" s="5">
        <v>8.8000000000000007</v>
      </c>
      <c r="U154" s="5" t="s">
        <v>53</v>
      </c>
      <c r="V154" s="5" t="s">
        <v>54</v>
      </c>
      <c r="W154" s="5">
        <v>1</v>
      </c>
      <c r="X154" s="5" t="s">
        <v>38</v>
      </c>
      <c r="Y154" s="5">
        <v>100</v>
      </c>
      <c r="Z154" s="5">
        <v>7.5</v>
      </c>
      <c r="AA154" s="5" t="s">
        <v>674</v>
      </c>
      <c r="AB154" s="6">
        <v>1.1999999999999999E-3</v>
      </c>
      <c r="AC154" s="5" t="s">
        <v>675</v>
      </c>
      <c r="AD154" s="5" t="s">
        <v>676</v>
      </c>
      <c r="AF154" s="15" t="s">
        <v>643</v>
      </c>
      <c r="AG154" s="15" t="s">
        <v>673</v>
      </c>
      <c r="AH154">
        <f t="shared" si="104"/>
        <v>0</v>
      </c>
      <c r="AI154">
        <f t="shared" si="86"/>
        <v>88</v>
      </c>
      <c r="AJ154" s="12">
        <f t="shared" si="87"/>
        <v>96</v>
      </c>
      <c r="AK154">
        <f t="shared" si="88"/>
        <v>89</v>
      </c>
      <c r="AL154">
        <f t="shared" si="89"/>
        <v>0</v>
      </c>
      <c r="AM154">
        <f t="shared" si="90"/>
        <v>70</v>
      </c>
      <c r="AN154">
        <f t="shared" si="84"/>
        <v>99.984199968399935</v>
      </c>
      <c r="AO154">
        <f t="shared" si="91"/>
        <v>75</v>
      </c>
      <c r="AP154">
        <f t="shared" si="92"/>
        <v>57.749525999051997</v>
      </c>
      <c r="AQ154">
        <f t="shared" si="106"/>
        <v>8</v>
      </c>
      <c r="AR154" t="str">
        <f t="shared" si="93"/>
        <v>PALM-007</v>
      </c>
      <c r="AS154" s="15" t="s">
        <v>643</v>
      </c>
      <c r="AT154" s="15" t="s">
        <v>673</v>
      </c>
      <c r="AU154">
        <f t="shared" si="105"/>
        <v>0</v>
      </c>
      <c r="AV154">
        <f t="shared" si="94"/>
        <v>0</v>
      </c>
      <c r="AW154">
        <f t="shared" si="95"/>
        <v>89</v>
      </c>
      <c r="AX154">
        <f t="shared" si="96"/>
        <v>88</v>
      </c>
      <c r="AY154">
        <f t="shared" si="85"/>
        <v>99.984199968399935</v>
      </c>
      <c r="AZ154">
        <f t="shared" si="97"/>
        <v>70</v>
      </c>
      <c r="BA154">
        <f t="shared" si="98"/>
        <v>39.49920999842</v>
      </c>
      <c r="BB154">
        <f t="shared" si="107"/>
        <v>8</v>
      </c>
      <c r="BC154" t="str">
        <f t="shared" si="99"/>
        <v>PALM-007</v>
      </c>
    </row>
    <row r="155" spans="2:55" ht="39.6" x14ac:dyDescent="0.3">
      <c r="B155" s="5" t="s">
        <v>29</v>
      </c>
      <c r="C155" s="15" t="s">
        <v>643</v>
      </c>
      <c r="D155" s="5" t="s">
        <v>677</v>
      </c>
      <c r="E155" s="5" t="s">
        <v>678</v>
      </c>
      <c r="F155" s="5" t="s">
        <v>84</v>
      </c>
      <c r="G155" s="5">
        <v>150</v>
      </c>
      <c r="H155" s="5">
        <v>110</v>
      </c>
      <c r="I155" s="5">
        <v>120</v>
      </c>
      <c r="J155" s="5">
        <v>13200</v>
      </c>
      <c r="K155" s="5">
        <v>21</v>
      </c>
      <c r="L155" s="5">
        <v>10</v>
      </c>
      <c r="M155" s="5">
        <v>0.1</v>
      </c>
      <c r="N155" s="5">
        <v>93</v>
      </c>
      <c r="O155" s="5" t="s">
        <v>294</v>
      </c>
      <c r="P155" s="5" t="s">
        <v>679</v>
      </c>
      <c r="Q155" s="5">
        <v>9.1999999999999993</v>
      </c>
      <c r="R155" s="5">
        <v>8.3000000000000007</v>
      </c>
      <c r="S155" s="5" t="s">
        <v>404</v>
      </c>
      <c r="T155" s="5">
        <v>9</v>
      </c>
      <c r="U155" s="5" t="s">
        <v>36</v>
      </c>
      <c r="V155" s="5" t="s">
        <v>46</v>
      </c>
      <c r="W155" s="5">
        <v>2</v>
      </c>
      <c r="X155" s="5" t="s">
        <v>38</v>
      </c>
      <c r="Y155" s="5">
        <v>60</v>
      </c>
      <c r="Z155" s="5">
        <v>8</v>
      </c>
      <c r="AA155" s="5" t="s">
        <v>680</v>
      </c>
      <c r="AB155" s="6">
        <v>5.9999999999999995E-4</v>
      </c>
      <c r="AC155" s="5" t="s">
        <v>681</v>
      </c>
      <c r="AD155" s="5" t="s">
        <v>682</v>
      </c>
      <c r="AF155" s="15" t="s">
        <v>643</v>
      </c>
      <c r="AG155" s="15" t="s">
        <v>678</v>
      </c>
      <c r="AH155">
        <f t="shared" si="104"/>
        <v>43.859649122807021</v>
      </c>
      <c r="AI155">
        <f t="shared" si="86"/>
        <v>92</v>
      </c>
      <c r="AJ155" s="12">
        <f t="shared" si="87"/>
        <v>98</v>
      </c>
      <c r="AK155">
        <f t="shared" si="88"/>
        <v>93</v>
      </c>
      <c r="AL155">
        <f t="shared" si="89"/>
        <v>0</v>
      </c>
      <c r="AM155">
        <f t="shared" si="90"/>
        <v>70</v>
      </c>
      <c r="AN155">
        <f t="shared" si="84"/>
        <v>99.976199952399909</v>
      </c>
      <c r="AO155">
        <f t="shared" si="91"/>
        <v>80</v>
      </c>
      <c r="AP155">
        <f t="shared" si="92"/>
        <v>70.714198279273745</v>
      </c>
      <c r="AQ155">
        <f t="shared" si="106"/>
        <v>5</v>
      </c>
      <c r="AR155" t="str">
        <f t="shared" si="93"/>
        <v>PALM-008</v>
      </c>
      <c r="AS155" s="15" t="s">
        <v>643</v>
      </c>
      <c r="AT155" s="15" t="s">
        <v>678</v>
      </c>
      <c r="AU155">
        <f t="shared" si="105"/>
        <v>43.859649122807021</v>
      </c>
      <c r="AV155">
        <f t="shared" si="94"/>
        <v>0</v>
      </c>
      <c r="AW155">
        <f t="shared" si="95"/>
        <v>93</v>
      </c>
      <c r="AX155">
        <f t="shared" si="96"/>
        <v>92</v>
      </c>
      <c r="AY155">
        <f t="shared" si="85"/>
        <v>99.976199952399909</v>
      </c>
      <c r="AZ155">
        <f t="shared" si="97"/>
        <v>70</v>
      </c>
      <c r="BA155">
        <f t="shared" si="98"/>
        <v>54.056704734462102</v>
      </c>
      <c r="BB155">
        <f t="shared" si="107"/>
        <v>5</v>
      </c>
      <c r="BC155" t="str">
        <f t="shared" si="99"/>
        <v>PALM-008</v>
      </c>
    </row>
    <row r="156" spans="2:55" ht="39.6" x14ac:dyDescent="0.3">
      <c r="B156" s="5" t="s">
        <v>29</v>
      </c>
      <c r="C156" s="15" t="s">
        <v>683</v>
      </c>
      <c r="D156" s="5" t="s">
        <v>684</v>
      </c>
      <c r="E156" s="5" t="s">
        <v>685</v>
      </c>
      <c r="F156" s="5" t="s">
        <v>50</v>
      </c>
      <c r="G156" s="5">
        <v>150</v>
      </c>
      <c r="H156" s="5">
        <v>650</v>
      </c>
      <c r="I156" s="5">
        <v>1000</v>
      </c>
      <c r="J156" s="5">
        <v>650000</v>
      </c>
      <c r="K156" s="5">
        <v>45</v>
      </c>
      <c r="L156" s="5">
        <v>20</v>
      </c>
      <c r="M156" s="5">
        <v>0.2</v>
      </c>
      <c r="N156" s="5">
        <v>88</v>
      </c>
      <c r="O156" s="5" t="s">
        <v>154</v>
      </c>
      <c r="P156" s="5" t="s">
        <v>686</v>
      </c>
      <c r="Q156" s="5">
        <v>9.5</v>
      </c>
      <c r="R156" s="5">
        <v>7</v>
      </c>
      <c r="S156" s="5" t="s">
        <v>687</v>
      </c>
      <c r="T156" s="5">
        <v>9.1999999999999993</v>
      </c>
      <c r="U156" s="5" t="s">
        <v>36</v>
      </c>
      <c r="V156" s="5" t="s">
        <v>37</v>
      </c>
      <c r="W156" s="5">
        <v>1</v>
      </c>
      <c r="X156" s="5" t="s">
        <v>68</v>
      </c>
      <c r="Y156" s="5">
        <v>180</v>
      </c>
      <c r="Z156" s="5">
        <v>7</v>
      </c>
      <c r="AA156" s="5" t="s">
        <v>437</v>
      </c>
      <c r="AB156" s="5" t="s">
        <v>688</v>
      </c>
      <c r="AC156" s="5" t="s">
        <v>689</v>
      </c>
      <c r="AD156" s="5"/>
      <c r="AF156" s="15" t="s">
        <v>683</v>
      </c>
      <c r="AG156" s="15" t="s">
        <v>685</v>
      </c>
      <c r="AH156">
        <f t="shared" ref="AH156:AH163" si="108">100-((H156-MIN($H$156:$H$163))/(MAX($H$156:$H$163)-MIN($H$156:$H$163))*100)</f>
        <v>37.037037037037038</v>
      </c>
      <c r="AI156">
        <f t="shared" si="86"/>
        <v>95</v>
      </c>
      <c r="AJ156" s="12">
        <f t="shared" si="87"/>
        <v>96</v>
      </c>
      <c r="AK156">
        <f t="shared" si="88"/>
        <v>88</v>
      </c>
      <c r="AL156">
        <f t="shared" si="89"/>
        <v>0</v>
      </c>
      <c r="AM156">
        <f t="shared" si="90"/>
        <v>70</v>
      </c>
      <c r="AN156">
        <f t="shared" si="84"/>
        <v>99.800199600399196</v>
      </c>
      <c r="AO156">
        <f t="shared" si="91"/>
        <v>70</v>
      </c>
      <c r="AP156">
        <f t="shared" si="92"/>
        <v>68.503265247271244</v>
      </c>
      <c r="AQ156">
        <f>RANK(AP156, $AP$156:$AP$163, 0)</f>
        <v>4</v>
      </c>
      <c r="AR156" t="str">
        <f t="shared" si="93"/>
        <v>OLIVE-001</v>
      </c>
      <c r="AS156" s="15" t="s">
        <v>683</v>
      </c>
      <c r="AT156" s="15" t="s">
        <v>685</v>
      </c>
      <c r="AU156">
        <f t="shared" ref="AU156:AU163" si="109">100-((H156-MIN($H$156:$H$163))/(MAX($H$156:$H$163)-MIN($H$156:$H$163))*100)</f>
        <v>37.037037037037038</v>
      </c>
      <c r="AV156">
        <f t="shared" si="94"/>
        <v>0</v>
      </c>
      <c r="AW156">
        <f t="shared" si="95"/>
        <v>88</v>
      </c>
      <c r="AX156">
        <f t="shared" si="96"/>
        <v>95</v>
      </c>
      <c r="AY156">
        <f t="shared" si="85"/>
        <v>99.800199600399196</v>
      </c>
      <c r="AZ156">
        <f t="shared" si="97"/>
        <v>70</v>
      </c>
      <c r="BA156">
        <f t="shared" si="98"/>
        <v>51.451121091131071</v>
      </c>
      <c r="BB156">
        <f>RANK(BA156, $BA$156:$BA$163, 0)</f>
        <v>4</v>
      </c>
      <c r="BC156" t="str">
        <f t="shared" si="99"/>
        <v>OLIVE-001</v>
      </c>
    </row>
    <row r="157" spans="2:55" ht="39.6" x14ac:dyDescent="0.3">
      <c r="B157" s="5" t="s">
        <v>29</v>
      </c>
      <c r="C157" s="15" t="s">
        <v>683</v>
      </c>
      <c r="D157" s="5" t="s">
        <v>690</v>
      </c>
      <c r="E157" s="5" t="s">
        <v>691</v>
      </c>
      <c r="F157" s="5" t="s">
        <v>50</v>
      </c>
      <c r="G157" s="5">
        <v>150</v>
      </c>
      <c r="H157" s="5">
        <v>720</v>
      </c>
      <c r="I157" s="5">
        <v>500</v>
      </c>
      <c r="J157" s="5">
        <v>360000</v>
      </c>
      <c r="K157" s="5">
        <v>60</v>
      </c>
      <c r="L157" s="5">
        <v>30</v>
      </c>
      <c r="M157" s="5">
        <v>0.1</v>
      </c>
      <c r="N157" s="5">
        <v>85</v>
      </c>
      <c r="O157" s="5" t="s">
        <v>159</v>
      </c>
      <c r="P157" s="5" t="s">
        <v>692</v>
      </c>
      <c r="Q157" s="5">
        <v>9.8000000000000007</v>
      </c>
      <c r="R157" s="5">
        <v>6.5</v>
      </c>
      <c r="S157" s="5" t="s">
        <v>693</v>
      </c>
      <c r="T157" s="5">
        <v>9.5</v>
      </c>
      <c r="U157" s="5" t="s">
        <v>36</v>
      </c>
      <c r="V157" s="5" t="s">
        <v>46</v>
      </c>
      <c r="W157" s="5">
        <v>1</v>
      </c>
      <c r="X157" s="5" t="s">
        <v>68</v>
      </c>
      <c r="Y157" s="5">
        <v>240</v>
      </c>
      <c r="Z157" s="5">
        <v>6.5</v>
      </c>
      <c r="AA157" s="5" t="s">
        <v>437</v>
      </c>
      <c r="AB157" s="5" t="s">
        <v>694</v>
      </c>
      <c r="AC157" s="5" t="s">
        <v>695</v>
      </c>
      <c r="AD157" s="5"/>
      <c r="AF157" s="15" t="s">
        <v>683</v>
      </c>
      <c r="AG157" s="15" t="s">
        <v>691</v>
      </c>
      <c r="AH157">
        <f t="shared" si="108"/>
        <v>11.111111111111114</v>
      </c>
      <c r="AI157">
        <f t="shared" si="86"/>
        <v>98</v>
      </c>
      <c r="AJ157" s="12">
        <f t="shared" si="87"/>
        <v>98</v>
      </c>
      <c r="AK157">
        <f t="shared" si="88"/>
        <v>85</v>
      </c>
      <c r="AL157">
        <f t="shared" si="89"/>
        <v>0</v>
      </c>
      <c r="AM157">
        <f t="shared" si="90"/>
        <v>70</v>
      </c>
      <c r="AN157">
        <f t="shared" si="84"/>
        <v>99.900199800399605</v>
      </c>
      <c r="AO157">
        <f t="shared" si="91"/>
        <v>65</v>
      </c>
      <c r="AP157">
        <f t="shared" si="92"/>
        <v>62.524783771789757</v>
      </c>
      <c r="AQ157">
        <f t="shared" ref="AQ157:AQ163" si="110">RANK(AP157, $AP$156:$AP$163, 0)</f>
        <v>7</v>
      </c>
      <c r="AR157" t="str">
        <f t="shared" si="93"/>
        <v>OLIVE-002</v>
      </c>
      <c r="AS157" s="15" t="s">
        <v>683</v>
      </c>
      <c r="AT157" s="15" t="s">
        <v>691</v>
      </c>
      <c r="AU157">
        <f t="shared" si="109"/>
        <v>11.111111111111114</v>
      </c>
      <c r="AV157">
        <f t="shared" si="94"/>
        <v>0</v>
      </c>
      <c r="AW157">
        <f t="shared" si="95"/>
        <v>85</v>
      </c>
      <c r="AX157">
        <f t="shared" si="96"/>
        <v>98</v>
      </c>
      <c r="AY157">
        <f t="shared" si="85"/>
        <v>99.900199800399605</v>
      </c>
      <c r="AZ157">
        <f t="shared" si="97"/>
        <v>70</v>
      </c>
      <c r="BA157">
        <f t="shared" si="98"/>
        <v>43.528343323353312</v>
      </c>
      <c r="BB157">
        <f t="shared" ref="BB157:BB163" si="111">RANK(BA157, $BA$156:$BA$163, 0)</f>
        <v>7</v>
      </c>
      <c r="BC157" t="str">
        <f t="shared" si="99"/>
        <v>OLIVE-002</v>
      </c>
    </row>
    <row r="158" spans="2:55" ht="39.6" x14ac:dyDescent="0.3">
      <c r="B158" s="5" t="s">
        <v>29</v>
      </c>
      <c r="C158" s="15" t="s">
        <v>683</v>
      </c>
      <c r="D158" s="5" t="s">
        <v>696</v>
      </c>
      <c r="E158" s="5" t="s">
        <v>697</v>
      </c>
      <c r="F158" s="5" t="s">
        <v>50</v>
      </c>
      <c r="G158" s="5">
        <v>150</v>
      </c>
      <c r="H158" s="5">
        <v>580</v>
      </c>
      <c r="I158" s="5">
        <v>2000</v>
      </c>
      <c r="J158" s="5">
        <v>1160000</v>
      </c>
      <c r="K158" s="5">
        <v>30</v>
      </c>
      <c r="L158" s="5">
        <v>15</v>
      </c>
      <c r="M158" s="5">
        <v>0.3</v>
      </c>
      <c r="N158" s="5">
        <v>90</v>
      </c>
      <c r="O158" s="5" t="s">
        <v>294</v>
      </c>
      <c r="P158" s="5" t="s">
        <v>698</v>
      </c>
      <c r="Q158" s="5">
        <v>8.8000000000000007</v>
      </c>
      <c r="R158" s="5">
        <v>7.5</v>
      </c>
      <c r="S158" s="5" t="s">
        <v>699</v>
      </c>
      <c r="T158" s="5">
        <v>8.5</v>
      </c>
      <c r="U158" s="5" t="s">
        <v>53</v>
      </c>
      <c r="V158" s="5" t="s">
        <v>37</v>
      </c>
      <c r="W158" s="5">
        <v>2</v>
      </c>
      <c r="X158" s="5" t="s">
        <v>38</v>
      </c>
      <c r="Y158" s="5">
        <v>120</v>
      </c>
      <c r="Z158" s="5">
        <v>7.5</v>
      </c>
      <c r="AA158" s="5" t="s">
        <v>419</v>
      </c>
      <c r="AB158" s="5" t="s">
        <v>700</v>
      </c>
      <c r="AC158" s="5" t="s">
        <v>701</v>
      </c>
      <c r="AD158" s="5"/>
      <c r="AF158" s="15" t="s">
        <v>683</v>
      </c>
      <c r="AG158" s="15" t="s">
        <v>697</v>
      </c>
      <c r="AH158">
        <f t="shared" si="108"/>
        <v>62.962962962962962</v>
      </c>
      <c r="AI158">
        <f t="shared" si="86"/>
        <v>88</v>
      </c>
      <c r="AJ158" s="12">
        <f t="shared" si="87"/>
        <v>94</v>
      </c>
      <c r="AK158">
        <f t="shared" si="88"/>
        <v>90</v>
      </c>
      <c r="AL158">
        <f t="shared" si="89"/>
        <v>0</v>
      </c>
      <c r="AM158">
        <f t="shared" si="90"/>
        <v>70</v>
      </c>
      <c r="AN158">
        <f t="shared" si="84"/>
        <v>99.600199200398407</v>
      </c>
      <c r="AO158">
        <f t="shared" si="91"/>
        <v>75</v>
      </c>
      <c r="AP158">
        <f t="shared" si="92"/>
        <v>73.32874671675269</v>
      </c>
      <c r="AQ158">
        <f t="shared" si="110"/>
        <v>3</v>
      </c>
      <c r="AR158" t="str">
        <f t="shared" si="93"/>
        <v>OLIVE-003</v>
      </c>
      <c r="AS158" s="15" t="s">
        <v>683</v>
      </c>
      <c r="AT158" s="15" t="s">
        <v>697</v>
      </c>
      <c r="AU158">
        <f t="shared" si="109"/>
        <v>62.962962962962962</v>
      </c>
      <c r="AV158">
        <f t="shared" si="94"/>
        <v>0</v>
      </c>
      <c r="AW158">
        <f t="shared" si="95"/>
        <v>90</v>
      </c>
      <c r="AX158">
        <f t="shared" si="96"/>
        <v>88</v>
      </c>
      <c r="AY158">
        <f t="shared" si="85"/>
        <v>99.600199200398407</v>
      </c>
      <c r="AZ158">
        <f t="shared" si="97"/>
        <v>70</v>
      </c>
      <c r="BA158">
        <f t="shared" si="98"/>
        <v>58.568898848908809</v>
      </c>
      <c r="BB158">
        <f t="shared" si="111"/>
        <v>3</v>
      </c>
      <c r="BC158" t="str">
        <f t="shared" si="99"/>
        <v>OLIVE-003</v>
      </c>
    </row>
    <row r="159" spans="2:55" ht="39.6" x14ac:dyDescent="0.3">
      <c r="B159" s="5" t="s">
        <v>29</v>
      </c>
      <c r="C159" s="15" t="s">
        <v>683</v>
      </c>
      <c r="D159" s="5" t="s">
        <v>702</v>
      </c>
      <c r="E159" s="5" t="s">
        <v>703</v>
      </c>
      <c r="F159" s="5" t="s">
        <v>50</v>
      </c>
      <c r="G159" s="5">
        <v>150</v>
      </c>
      <c r="H159" s="5">
        <v>690</v>
      </c>
      <c r="I159" s="5">
        <v>800</v>
      </c>
      <c r="J159" s="5">
        <v>552000</v>
      </c>
      <c r="K159" s="5">
        <v>50</v>
      </c>
      <c r="L159" s="5">
        <v>25</v>
      </c>
      <c r="M159" s="5">
        <v>0.15</v>
      </c>
      <c r="N159" s="5">
        <v>86</v>
      </c>
      <c r="O159" s="5" t="s">
        <v>154</v>
      </c>
      <c r="P159" s="5" t="s">
        <v>704</v>
      </c>
      <c r="Q159" s="5">
        <v>9.6</v>
      </c>
      <c r="R159" s="5">
        <v>6.8</v>
      </c>
      <c r="S159" s="5" t="s">
        <v>705</v>
      </c>
      <c r="T159" s="5">
        <v>9</v>
      </c>
      <c r="U159" s="5" t="s">
        <v>36</v>
      </c>
      <c r="V159" s="5" t="s">
        <v>46</v>
      </c>
      <c r="W159" s="5">
        <v>1</v>
      </c>
      <c r="X159" s="5" t="s">
        <v>68</v>
      </c>
      <c r="Y159" s="5">
        <v>200</v>
      </c>
      <c r="Z159" s="5">
        <v>6.8</v>
      </c>
      <c r="AA159" s="5" t="s">
        <v>437</v>
      </c>
      <c r="AB159" s="5" t="s">
        <v>706</v>
      </c>
      <c r="AC159" s="5" t="s">
        <v>707</v>
      </c>
      <c r="AD159" s="5"/>
      <c r="AF159" s="15" t="s">
        <v>683</v>
      </c>
      <c r="AG159" s="15" t="s">
        <v>703</v>
      </c>
      <c r="AH159">
        <f t="shared" si="108"/>
        <v>22.222222222222214</v>
      </c>
      <c r="AI159">
        <f t="shared" si="86"/>
        <v>96</v>
      </c>
      <c r="AJ159" s="12">
        <f t="shared" si="87"/>
        <v>97</v>
      </c>
      <c r="AK159">
        <f t="shared" si="88"/>
        <v>86</v>
      </c>
      <c r="AL159">
        <f t="shared" si="89"/>
        <v>0</v>
      </c>
      <c r="AM159">
        <f t="shared" si="90"/>
        <v>70</v>
      </c>
      <c r="AN159">
        <f t="shared" si="84"/>
        <v>99.840199680399365</v>
      </c>
      <c r="AO159">
        <f t="shared" si="91"/>
        <v>68</v>
      </c>
      <c r="AP159">
        <f t="shared" si="92"/>
        <v>64.860761545967534</v>
      </c>
      <c r="AQ159">
        <f t="shared" si="110"/>
        <v>6</v>
      </c>
      <c r="AR159" t="str">
        <f t="shared" si="93"/>
        <v>OLIVE-004</v>
      </c>
      <c r="AS159" s="15" t="s">
        <v>683</v>
      </c>
      <c r="AT159" s="15" t="s">
        <v>703</v>
      </c>
      <c r="AU159">
        <f t="shared" si="109"/>
        <v>22.222222222222214</v>
      </c>
      <c r="AV159">
        <f t="shared" si="94"/>
        <v>0</v>
      </c>
      <c r="AW159">
        <f t="shared" si="95"/>
        <v>86</v>
      </c>
      <c r="AX159">
        <f t="shared" si="96"/>
        <v>96</v>
      </c>
      <c r="AY159">
        <f t="shared" si="85"/>
        <v>99.840199680399365</v>
      </c>
      <c r="AZ159">
        <f t="shared" si="97"/>
        <v>70</v>
      </c>
      <c r="BA159">
        <f t="shared" si="98"/>
        <v>46.758676650686638</v>
      </c>
      <c r="BB159">
        <f t="shared" si="111"/>
        <v>6</v>
      </c>
      <c r="BC159" t="str">
        <f t="shared" si="99"/>
        <v>OLIVE-004</v>
      </c>
    </row>
    <row r="160" spans="2:55" ht="39.6" x14ac:dyDescent="0.3">
      <c r="B160" s="5" t="s">
        <v>29</v>
      </c>
      <c r="C160" s="15" t="s">
        <v>683</v>
      </c>
      <c r="D160" s="5" t="s">
        <v>708</v>
      </c>
      <c r="E160" s="5" t="s">
        <v>709</v>
      </c>
      <c r="F160" s="5" t="s">
        <v>50</v>
      </c>
      <c r="G160" s="5">
        <v>150</v>
      </c>
      <c r="H160" s="5">
        <v>750</v>
      </c>
      <c r="I160" s="5">
        <v>600</v>
      </c>
      <c r="J160" s="5">
        <v>450000</v>
      </c>
      <c r="K160" s="5">
        <v>45</v>
      </c>
      <c r="L160" s="5">
        <v>20</v>
      </c>
      <c r="M160" s="5">
        <v>0.1</v>
      </c>
      <c r="N160" s="5">
        <v>87</v>
      </c>
      <c r="O160" s="5" t="s">
        <v>154</v>
      </c>
      <c r="P160" s="5" t="s">
        <v>710</v>
      </c>
      <c r="Q160" s="5">
        <v>9.6999999999999993</v>
      </c>
      <c r="R160" s="5">
        <v>7.2</v>
      </c>
      <c r="S160" s="5" t="s">
        <v>711</v>
      </c>
      <c r="T160" s="5">
        <v>9.3000000000000007</v>
      </c>
      <c r="U160" s="5" t="s">
        <v>36</v>
      </c>
      <c r="V160" s="5" t="s">
        <v>37</v>
      </c>
      <c r="W160" s="5">
        <v>1</v>
      </c>
      <c r="X160" s="5" t="s">
        <v>68</v>
      </c>
      <c r="Y160" s="5">
        <v>150</v>
      </c>
      <c r="Z160" s="5">
        <v>7.2</v>
      </c>
      <c r="AA160" s="5" t="s">
        <v>437</v>
      </c>
      <c r="AB160" s="5" t="s">
        <v>712</v>
      </c>
      <c r="AC160" s="5" t="s">
        <v>713</v>
      </c>
      <c r="AD160" s="5"/>
      <c r="AF160" s="15" t="s">
        <v>683</v>
      </c>
      <c r="AG160" s="15" t="s">
        <v>709</v>
      </c>
      <c r="AH160">
        <f t="shared" si="108"/>
        <v>0</v>
      </c>
      <c r="AI160">
        <f t="shared" si="86"/>
        <v>97</v>
      </c>
      <c r="AJ160" s="12">
        <f t="shared" si="87"/>
        <v>98</v>
      </c>
      <c r="AK160">
        <f t="shared" si="88"/>
        <v>87</v>
      </c>
      <c r="AL160">
        <f t="shared" si="89"/>
        <v>0</v>
      </c>
      <c r="AM160">
        <f t="shared" si="90"/>
        <v>70</v>
      </c>
      <c r="AN160">
        <f t="shared" si="84"/>
        <v>99.88019976039952</v>
      </c>
      <c r="AO160">
        <f t="shared" si="91"/>
        <v>72</v>
      </c>
      <c r="AP160">
        <f t="shared" si="92"/>
        <v>59.936405992811984</v>
      </c>
      <c r="AQ160">
        <f t="shared" si="110"/>
        <v>8</v>
      </c>
      <c r="AR160" t="str">
        <f t="shared" si="93"/>
        <v>OLIVE-005</v>
      </c>
      <c r="AS160" s="15" t="s">
        <v>683</v>
      </c>
      <c r="AT160" s="15" t="s">
        <v>709</v>
      </c>
      <c r="AU160">
        <f t="shared" si="109"/>
        <v>0</v>
      </c>
      <c r="AV160">
        <f t="shared" si="94"/>
        <v>0</v>
      </c>
      <c r="AW160">
        <f t="shared" si="95"/>
        <v>87</v>
      </c>
      <c r="AX160">
        <f t="shared" si="96"/>
        <v>97</v>
      </c>
      <c r="AY160">
        <f t="shared" si="85"/>
        <v>99.88019976039952</v>
      </c>
      <c r="AZ160">
        <f t="shared" si="97"/>
        <v>70</v>
      </c>
      <c r="BA160">
        <f t="shared" si="98"/>
        <v>40.444009988019978</v>
      </c>
      <c r="BB160">
        <f t="shared" si="111"/>
        <v>8</v>
      </c>
      <c r="BC160" t="str">
        <f t="shared" si="99"/>
        <v>OLIVE-005</v>
      </c>
    </row>
    <row r="161" spans="2:55" ht="39.6" x14ac:dyDescent="0.3">
      <c r="B161" s="5" t="s">
        <v>29</v>
      </c>
      <c r="C161" s="15" t="s">
        <v>683</v>
      </c>
      <c r="D161" s="5" t="s">
        <v>714</v>
      </c>
      <c r="E161" s="5" t="s">
        <v>715</v>
      </c>
      <c r="F161" s="5" t="s">
        <v>50</v>
      </c>
      <c r="G161" s="5">
        <v>150</v>
      </c>
      <c r="H161" s="5">
        <v>680</v>
      </c>
      <c r="I161" s="5">
        <v>700</v>
      </c>
      <c r="J161" s="5">
        <v>476000</v>
      </c>
      <c r="K161" s="5">
        <v>40</v>
      </c>
      <c r="L161" s="5">
        <v>18</v>
      </c>
      <c r="M161" s="5">
        <v>0.2</v>
      </c>
      <c r="N161" s="5">
        <v>89</v>
      </c>
      <c r="O161" s="5" t="s">
        <v>294</v>
      </c>
      <c r="P161" s="5" t="s">
        <v>716</v>
      </c>
      <c r="Q161" s="5">
        <v>9.4</v>
      </c>
      <c r="R161" s="5">
        <v>7.5</v>
      </c>
      <c r="S161" s="5" t="s">
        <v>717</v>
      </c>
      <c r="T161" s="5">
        <v>9.1</v>
      </c>
      <c r="U161" s="5" t="s">
        <v>53</v>
      </c>
      <c r="V161" s="5" t="s">
        <v>46</v>
      </c>
      <c r="W161" s="5">
        <v>2</v>
      </c>
      <c r="X161" s="5" t="s">
        <v>38</v>
      </c>
      <c r="Y161" s="5">
        <v>130</v>
      </c>
      <c r="Z161" s="5">
        <v>7.5</v>
      </c>
      <c r="AA161" s="5" t="s">
        <v>437</v>
      </c>
      <c r="AB161" s="5" t="s">
        <v>718</v>
      </c>
      <c r="AC161" s="5" t="s">
        <v>719</v>
      </c>
      <c r="AD161" s="5"/>
      <c r="AF161" s="15" t="s">
        <v>683</v>
      </c>
      <c r="AG161" s="15" t="s">
        <v>715</v>
      </c>
      <c r="AH161">
        <f t="shared" si="108"/>
        <v>25.925925925925924</v>
      </c>
      <c r="AI161">
        <f t="shared" si="86"/>
        <v>94</v>
      </c>
      <c r="AJ161" s="12">
        <f t="shared" si="87"/>
        <v>96</v>
      </c>
      <c r="AK161">
        <f t="shared" si="88"/>
        <v>89</v>
      </c>
      <c r="AL161">
        <f t="shared" si="89"/>
        <v>0</v>
      </c>
      <c r="AM161">
        <f t="shared" si="90"/>
        <v>70</v>
      </c>
      <c r="AN161">
        <f t="shared" si="84"/>
        <v>99.860199720399436</v>
      </c>
      <c r="AO161">
        <f t="shared" si="91"/>
        <v>75</v>
      </c>
      <c r="AP161">
        <f t="shared" si="92"/>
        <v>65.727287473093469</v>
      </c>
      <c r="AQ161">
        <f t="shared" si="110"/>
        <v>5</v>
      </c>
      <c r="AR161" t="str">
        <f t="shared" si="93"/>
        <v>OLIVE-006</v>
      </c>
      <c r="AS161" s="15" t="s">
        <v>683</v>
      </c>
      <c r="AT161" s="15" t="s">
        <v>715</v>
      </c>
      <c r="AU161">
        <f t="shared" si="109"/>
        <v>25.925925925925924</v>
      </c>
      <c r="AV161">
        <f t="shared" si="94"/>
        <v>0</v>
      </c>
      <c r="AW161">
        <f t="shared" si="95"/>
        <v>89</v>
      </c>
      <c r="AX161">
        <f t="shared" si="96"/>
        <v>94</v>
      </c>
      <c r="AY161">
        <f t="shared" si="85"/>
        <v>99.860199720399436</v>
      </c>
      <c r="AZ161">
        <f t="shared" si="97"/>
        <v>70</v>
      </c>
      <c r="BA161">
        <f t="shared" si="98"/>
        <v>48.170787763797748</v>
      </c>
      <c r="BB161">
        <f t="shared" si="111"/>
        <v>5</v>
      </c>
      <c r="BC161" t="str">
        <f t="shared" si="99"/>
        <v>OLIVE-006</v>
      </c>
    </row>
    <row r="162" spans="2:55" ht="39.6" x14ac:dyDescent="0.3">
      <c r="B162" s="5" t="s">
        <v>29</v>
      </c>
      <c r="C162" s="15" t="s">
        <v>683</v>
      </c>
      <c r="D162" s="5" t="s">
        <v>720</v>
      </c>
      <c r="E162" s="5" t="s">
        <v>721</v>
      </c>
      <c r="F162" s="5" t="s">
        <v>84</v>
      </c>
      <c r="G162" s="5">
        <v>150</v>
      </c>
      <c r="H162" s="5">
        <v>520</v>
      </c>
      <c r="I162" s="5">
        <v>1500</v>
      </c>
      <c r="J162" s="5">
        <v>780000</v>
      </c>
      <c r="K162" s="5">
        <v>30</v>
      </c>
      <c r="L162" s="5">
        <v>15</v>
      </c>
      <c r="M162" s="5">
        <v>0.4</v>
      </c>
      <c r="N162" s="5">
        <v>91</v>
      </c>
      <c r="O162" s="5">
        <v>60</v>
      </c>
      <c r="P162" s="5" t="s">
        <v>722</v>
      </c>
      <c r="Q162" s="5">
        <v>8.5</v>
      </c>
      <c r="R162" s="5">
        <v>8</v>
      </c>
      <c r="S162" s="5" t="s">
        <v>67</v>
      </c>
      <c r="T162" s="5">
        <v>8</v>
      </c>
      <c r="U162" s="5" t="s">
        <v>81</v>
      </c>
      <c r="V162" s="5" t="s">
        <v>37</v>
      </c>
      <c r="W162" s="5">
        <v>2</v>
      </c>
      <c r="X162" s="5" t="s">
        <v>38</v>
      </c>
      <c r="Y162" s="5">
        <v>90</v>
      </c>
      <c r="Z162" s="5">
        <v>8</v>
      </c>
      <c r="AA162" s="5" t="s">
        <v>723</v>
      </c>
      <c r="AB162" s="5" t="s">
        <v>724</v>
      </c>
      <c r="AC162" s="5" t="s">
        <v>725</v>
      </c>
      <c r="AD162" s="5"/>
      <c r="AF162" s="15" t="s">
        <v>683</v>
      </c>
      <c r="AG162" s="15" t="s">
        <v>721</v>
      </c>
      <c r="AH162">
        <f t="shared" si="108"/>
        <v>85.18518518518519</v>
      </c>
      <c r="AI162">
        <f t="shared" si="86"/>
        <v>85</v>
      </c>
      <c r="AJ162" s="12">
        <f t="shared" si="87"/>
        <v>92</v>
      </c>
      <c r="AK162">
        <f t="shared" si="88"/>
        <v>91</v>
      </c>
      <c r="AL162">
        <f t="shared" si="89"/>
        <v>0</v>
      </c>
      <c r="AM162">
        <f t="shared" si="90"/>
        <v>70</v>
      </c>
      <c r="AN162">
        <f t="shared" si="84"/>
        <v>99.700199400398802</v>
      </c>
      <c r="AO162">
        <f t="shared" si="91"/>
        <v>80</v>
      </c>
      <c r="AP162">
        <f t="shared" si="92"/>
        <v>78.087302278308258</v>
      </c>
      <c r="AQ162">
        <f t="shared" si="110"/>
        <v>2</v>
      </c>
      <c r="AR162" t="str">
        <f t="shared" si="93"/>
        <v>OLIVE-007</v>
      </c>
      <c r="AS162" s="15" t="s">
        <v>683</v>
      </c>
      <c r="AT162" s="15" t="s">
        <v>721</v>
      </c>
      <c r="AU162">
        <f t="shared" si="109"/>
        <v>85.18518518518519</v>
      </c>
      <c r="AV162">
        <f t="shared" si="94"/>
        <v>0</v>
      </c>
      <c r="AW162">
        <f t="shared" si="95"/>
        <v>91</v>
      </c>
      <c r="AX162">
        <f t="shared" si="96"/>
        <v>85</v>
      </c>
      <c r="AY162">
        <f t="shared" si="85"/>
        <v>99.700199400398802</v>
      </c>
      <c r="AZ162">
        <f t="shared" si="97"/>
        <v>70</v>
      </c>
      <c r="BA162">
        <f t="shared" si="98"/>
        <v>64.990565525575505</v>
      </c>
      <c r="BB162">
        <f t="shared" si="111"/>
        <v>2</v>
      </c>
      <c r="BC162" t="str">
        <f t="shared" si="99"/>
        <v>OLIVE-007</v>
      </c>
    </row>
    <row r="163" spans="2:55" ht="39.6" x14ac:dyDescent="0.3">
      <c r="B163" s="5" t="s">
        <v>29</v>
      </c>
      <c r="C163" s="15" t="s">
        <v>683</v>
      </c>
      <c r="D163" s="5" t="s">
        <v>726</v>
      </c>
      <c r="E163" s="5" t="s">
        <v>727</v>
      </c>
      <c r="F163" s="5" t="s">
        <v>50</v>
      </c>
      <c r="G163" s="5">
        <v>150</v>
      </c>
      <c r="H163" s="5">
        <v>480</v>
      </c>
      <c r="I163" s="5">
        <v>2000</v>
      </c>
      <c r="J163" s="5">
        <v>960000</v>
      </c>
      <c r="K163" s="5">
        <v>35</v>
      </c>
      <c r="L163" s="5">
        <v>16</v>
      </c>
      <c r="M163" s="5">
        <v>0.5</v>
      </c>
      <c r="N163" s="5">
        <v>90</v>
      </c>
      <c r="O163" s="5">
        <v>60</v>
      </c>
      <c r="P163" s="5" t="s">
        <v>698</v>
      </c>
      <c r="Q163" s="5">
        <v>8</v>
      </c>
      <c r="R163" s="5">
        <v>8.3000000000000007</v>
      </c>
      <c r="S163" s="5" t="s">
        <v>54</v>
      </c>
      <c r="T163" s="5">
        <v>7.5</v>
      </c>
      <c r="U163" s="5" t="s">
        <v>81</v>
      </c>
      <c r="V163" s="5" t="s">
        <v>54</v>
      </c>
      <c r="W163" s="5">
        <v>3</v>
      </c>
      <c r="X163" s="5" t="s">
        <v>38</v>
      </c>
      <c r="Y163" s="5">
        <v>100</v>
      </c>
      <c r="Z163" s="5">
        <v>8.3000000000000007</v>
      </c>
      <c r="AA163" s="5" t="s">
        <v>728</v>
      </c>
      <c r="AB163" s="5" t="s">
        <v>729</v>
      </c>
      <c r="AC163" s="5" t="s">
        <v>730</v>
      </c>
      <c r="AD163" s="5"/>
      <c r="AF163" s="15" t="s">
        <v>683</v>
      </c>
      <c r="AG163" s="15" t="s">
        <v>727</v>
      </c>
      <c r="AH163">
        <f t="shared" si="108"/>
        <v>100</v>
      </c>
      <c r="AI163">
        <f t="shared" si="86"/>
        <v>80</v>
      </c>
      <c r="AJ163" s="12">
        <f t="shared" si="87"/>
        <v>90</v>
      </c>
      <c r="AK163">
        <f t="shared" si="88"/>
        <v>90</v>
      </c>
      <c r="AL163">
        <f t="shared" si="89"/>
        <v>0</v>
      </c>
      <c r="AM163">
        <f t="shared" si="90"/>
        <v>70</v>
      </c>
      <c r="AN163">
        <f t="shared" si="84"/>
        <v>99.600199200398407</v>
      </c>
      <c r="AO163">
        <f t="shared" si="91"/>
        <v>83</v>
      </c>
      <c r="AP163">
        <f t="shared" si="92"/>
        <v>80.148005976011945</v>
      </c>
      <c r="AQ163">
        <f t="shared" si="110"/>
        <v>1</v>
      </c>
      <c r="AR163" t="str">
        <f t="shared" si="93"/>
        <v>OLIVE-008</v>
      </c>
      <c r="AS163" s="15" t="s">
        <v>683</v>
      </c>
      <c r="AT163" s="15" t="s">
        <v>727</v>
      </c>
      <c r="AU163">
        <f t="shared" si="109"/>
        <v>100</v>
      </c>
      <c r="AV163">
        <f t="shared" si="94"/>
        <v>0</v>
      </c>
      <c r="AW163">
        <f t="shared" si="95"/>
        <v>90</v>
      </c>
      <c r="AX163">
        <f t="shared" si="96"/>
        <v>80</v>
      </c>
      <c r="AY163">
        <f t="shared" si="85"/>
        <v>99.600199200398407</v>
      </c>
      <c r="AZ163">
        <f t="shared" si="97"/>
        <v>70</v>
      </c>
      <c r="BA163">
        <f t="shared" si="98"/>
        <v>68.480009960019913</v>
      </c>
      <c r="BB163">
        <f t="shared" si="111"/>
        <v>1</v>
      </c>
      <c r="BC163" t="str">
        <f t="shared" si="99"/>
        <v>OLIVE-008</v>
      </c>
    </row>
    <row r="164" spans="2:55" ht="39.6" x14ac:dyDescent="0.3">
      <c r="B164" s="5" t="s">
        <v>731</v>
      </c>
      <c r="C164" s="15" t="s">
        <v>732</v>
      </c>
      <c r="D164" s="5" t="s">
        <v>733</v>
      </c>
      <c r="E164" s="5" t="s">
        <v>734</v>
      </c>
      <c r="F164" s="5" t="s">
        <v>524</v>
      </c>
      <c r="G164" s="5">
        <v>30</v>
      </c>
      <c r="H164" s="5">
        <v>3.5</v>
      </c>
      <c r="I164" s="5">
        <v>50000</v>
      </c>
      <c r="J164" s="5">
        <v>175000</v>
      </c>
      <c r="K164" s="5">
        <v>10</v>
      </c>
      <c r="L164" s="5">
        <v>5</v>
      </c>
      <c r="M164" s="5">
        <v>0.5</v>
      </c>
      <c r="N164" s="5">
        <v>97</v>
      </c>
      <c r="O164" s="5">
        <v>60</v>
      </c>
      <c r="P164" s="5" t="s">
        <v>735</v>
      </c>
      <c r="Q164" s="5">
        <v>8.5</v>
      </c>
      <c r="R164" s="5">
        <v>9</v>
      </c>
      <c r="S164" s="5" t="s">
        <v>67</v>
      </c>
      <c r="T164" s="5">
        <v>8</v>
      </c>
      <c r="U164" s="5" t="s">
        <v>53</v>
      </c>
      <c r="V164" s="5" t="s">
        <v>37</v>
      </c>
      <c r="W164" s="5">
        <v>2</v>
      </c>
      <c r="X164" s="5" t="s">
        <v>38</v>
      </c>
      <c r="Y164" s="5">
        <v>30</v>
      </c>
      <c r="Z164" s="5">
        <v>8.8000000000000007</v>
      </c>
      <c r="AA164" s="5" t="s">
        <v>736</v>
      </c>
      <c r="AB164" s="5" t="s">
        <v>737</v>
      </c>
      <c r="AC164" s="5" t="s">
        <v>738</v>
      </c>
      <c r="AD164" s="5"/>
      <c r="AF164" s="15" t="s">
        <v>732</v>
      </c>
      <c r="AG164" s="15" t="s">
        <v>734</v>
      </c>
      <c r="AH164">
        <f t="shared" ref="AH164:AH171" si="112">100-((H164-MIN($H$164:$H$171))/(MAX($H$164:$H$171)-MIN($H$164:$H$171))*100)</f>
        <v>68.181818181818173</v>
      </c>
      <c r="AI164">
        <f t="shared" si="86"/>
        <v>85</v>
      </c>
      <c r="AJ164" s="12">
        <f t="shared" si="87"/>
        <v>90</v>
      </c>
      <c r="AK164">
        <f t="shared" si="88"/>
        <v>97</v>
      </c>
      <c r="AL164">
        <f t="shared" si="89"/>
        <v>50</v>
      </c>
      <c r="AM164">
        <f t="shared" si="90"/>
        <v>94</v>
      </c>
      <c r="AN164">
        <f t="shared" si="84"/>
        <v>90.000180000360004</v>
      </c>
      <c r="AO164">
        <f t="shared" si="91"/>
        <v>88</v>
      </c>
      <c r="AP164">
        <f t="shared" si="92"/>
        <v>80.505459945465347</v>
      </c>
      <c r="AQ164">
        <f>RANK(AP164, $AP$164:$AP$171, 0)</f>
        <v>1</v>
      </c>
      <c r="AR164" t="str">
        <f t="shared" si="93"/>
        <v>POUCH-001</v>
      </c>
      <c r="AS164" s="15" t="s">
        <v>732</v>
      </c>
      <c r="AT164" s="15" t="s">
        <v>734</v>
      </c>
      <c r="AU164">
        <f t="shared" ref="AU164:AU171" si="113">100-((H164-MIN($H$164:$H$171))/(MAX($H$164:$H$171)-MIN($H$164:$H$171))*100)</f>
        <v>68.181818181818173</v>
      </c>
      <c r="AV164">
        <f t="shared" si="94"/>
        <v>50</v>
      </c>
      <c r="AW164">
        <f t="shared" si="95"/>
        <v>97</v>
      </c>
      <c r="AX164">
        <f t="shared" si="96"/>
        <v>85</v>
      </c>
      <c r="AY164">
        <f t="shared" si="85"/>
        <v>90.000180000360004</v>
      </c>
      <c r="AZ164">
        <f t="shared" si="97"/>
        <v>94</v>
      </c>
      <c r="BA164">
        <f t="shared" si="98"/>
        <v>74.304554454563458</v>
      </c>
      <c r="BB164">
        <f>RANK(BA164, $BA$164:$BA$171, 0)</f>
        <v>2</v>
      </c>
      <c r="BC164" t="str">
        <f t="shared" si="99"/>
        <v>POUCH-001</v>
      </c>
    </row>
    <row r="165" spans="2:55" ht="39.6" x14ac:dyDescent="0.3">
      <c r="B165" s="5" t="s">
        <v>731</v>
      </c>
      <c r="C165" s="15" t="s">
        <v>732</v>
      </c>
      <c r="D165" s="5" t="s">
        <v>739</v>
      </c>
      <c r="E165" s="5" t="s">
        <v>740</v>
      </c>
      <c r="F165" s="5" t="s">
        <v>223</v>
      </c>
      <c r="G165" s="5">
        <v>40</v>
      </c>
      <c r="H165" s="5">
        <v>3.2</v>
      </c>
      <c r="I165" s="5">
        <v>100000</v>
      </c>
      <c r="J165" s="5">
        <v>320000</v>
      </c>
      <c r="K165" s="5">
        <v>14</v>
      </c>
      <c r="L165" s="5">
        <v>7</v>
      </c>
      <c r="M165" s="5">
        <v>0.8</v>
      </c>
      <c r="N165" s="5">
        <v>95</v>
      </c>
      <c r="O165" s="5">
        <v>45</v>
      </c>
      <c r="P165" s="5" t="s">
        <v>741</v>
      </c>
      <c r="Q165" s="5">
        <v>8</v>
      </c>
      <c r="R165" s="5">
        <v>9.1999999999999993</v>
      </c>
      <c r="S165" s="5" t="s">
        <v>52</v>
      </c>
      <c r="T165" s="5">
        <v>7.5</v>
      </c>
      <c r="U165" s="5" t="s">
        <v>81</v>
      </c>
      <c r="V165" s="5" t="s">
        <v>46</v>
      </c>
      <c r="W165" s="5">
        <v>3</v>
      </c>
      <c r="X165" s="5" t="s">
        <v>38</v>
      </c>
      <c r="Y165" s="5">
        <v>45</v>
      </c>
      <c r="Z165" s="5">
        <v>8.5</v>
      </c>
      <c r="AA165" s="5" t="s">
        <v>742</v>
      </c>
      <c r="AB165" s="5" t="s">
        <v>743</v>
      </c>
      <c r="AC165" s="5" t="s">
        <v>744</v>
      </c>
      <c r="AD165" s="5"/>
      <c r="AF165" s="15" t="s">
        <v>732</v>
      </c>
      <c r="AG165" s="15" t="s">
        <v>740</v>
      </c>
      <c r="AH165">
        <f t="shared" si="112"/>
        <v>81.818181818181799</v>
      </c>
      <c r="AI165">
        <f t="shared" si="86"/>
        <v>80</v>
      </c>
      <c r="AJ165" s="12">
        <f t="shared" si="87"/>
        <v>84</v>
      </c>
      <c r="AK165">
        <f t="shared" si="88"/>
        <v>95</v>
      </c>
      <c r="AL165">
        <f t="shared" si="89"/>
        <v>30</v>
      </c>
      <c r="AM165">
        <f t="shared" si="90"/>
        <v>92</v>
      </c>
      <c r="AN165">
        <f t="shared" si="84"/>
        <v>80.000160000319994</v>
      </c>
      <c r="AO165">
        <f t="shared" si="91"/>
        <v>85</v>
      </c>
      <c r="AP165">
        <f t="shared" si="92"/>
        <v>79.004550254555056</v>
      </c>
      <c r="AQ165">
        <f t="shared" ref="AQ165:AQ171" si="114">RANK(AP165, $AP$164:$AP$171, 0)</f>
        <v>2</v>
      </c>
      <c r="AR165" t="str">
        <f t="shared" si="93"/>
        <v>POUCH-002</v>
      </c>
      <c r="AS165" s="15" t="s">
        <v>732</v>
      </c>
      <c r="AT165" s="15" t="s">
        <v>740</v>
      </c>
      <c r="AU165">
        <f t="shared" si="113"/>
        <v>81.818181818181799</v>
      </c>
      <c r="AV165">
        <f t="shared" si="94"/>
        <v>30</v>
      </c>
      <c r="AW165">
        <f t="shared" si="95"/>
        <v>95</v>
      </c>
      <c r="AX165">
        <f t="shared" si="96"/>
        <v>80</v>
      </c>
      <c r="AY165">
        <f t="shared" si="85"/>
        <v>80.000160000319994</v>
      </c>
      <c r="AZ165">
        <f t="shared" si="97"/>
        <v>92</v>
      </c>
      <c r="BA165">
        <f t="shared" si="98"/>
        <v>71.645462545470536</v>
      </c>
      <c r="BB165">
        <f t="shared" ref="BB165:BB171" si="115">RANK(BA165, $BA$164:$BA$171, 0)</f>
        <v>4</v>
      </c>
      <c r="BC165" t="str">
        <f t="shared" si="99"/>
        <v>POUCH-002</v>
      </c>
    </row>
    <row r="166" spans="2:55" ht="39.6" x14ac:dyDescent="0.3">
      <c r="B166" s="5" t="s">
        <v>731</v>
      </c>
      <c r="C166" s="15" t="s">
        <v>732</v>
      </c>
      <c r="D166" s="5" t="s">
        <v>745</v>
      </c>
      <c r="E166" s="5" t="s">
        <v>746</v>
      </c>
      <c r="F166" s="5" t="s">
        <v>72</v>
      </c>
      <c r="G166" s="5">
        <v>15</v>
      </c>
      <c r="H166" s="5">
        <v>4</v>
      </c>
      <c r="I166" s="5">
        <v>25000</v>
      </c>
      <c r="J166" s="5">
        <v>100000</v>
      </c>
      <c r="K166" s="5">
        <v>7</v>
      </c>
      <c r="L166" s="5">
        <v>3</v>
      </c>
      <c r="M166" s="5">
        <v>0.3</v>
      </c>
      <c r="N166" s="5">
        <v>98</v>
      </c>
      <c r="O166" s="5">
        <v>30</v>
      </c>
      <c r="P166" s="5" t="s">
        <v>747</v>
      </c>
      <c r="Q166" s="5">
        <v>9</v>
      </c>
      <c r="R166" s="5">
        <v>9.5</v>
      </c>
      <c r="S166" s="5" t="s">
        <v>404</v>
      </c>
      <c r="T166" s="5">
        <v>9</v>
      </c>
      <c r="U166" s="5" t="s">
        <v>36</v>
      </c>
      <c r="V166" s="5" t="s">
        <v>37</v>
      </c>
      <c r="W166" s="5">
        <v>1</v>
      </c>
      <c r="X166" s="5" t="s">
        <v>38</v>
      </c>
      <c r="Y166" s="5">
        <v>20</v>
      </c>
      <c r="Z166" s="5">
        <v>9.1999999999999993</v>
      </c>
      <c r="AA166" s="5" t="s">
        <v>748</v>
      </c>
      <c r="AB166" s="5" t="s">
        <v>749</v>
      </c>
      <c r="AC166" s="5" t="s">
        <v>750</v>
      </c>
      <c r="AD166" s="5"/>
      <c r="AF166" s="15" t="s">
        <v>732</v>
      </c>
      <c r="AG166" s="15" t="s">
        <v>746</v>
      </c>
      <c r="AH166">
        <f t="shared" si="112"/>
        <v>45.454545454545446</v>
      </c>
      <c r="AI166">
        <f t="shared" si="86"/>
        <v>90</v>
      </c>
      <c r="AJ166" s="12">
        <f t="shared" si="87"/>
        <v>94</v>
      </c>
      <c r="AK166">
        <f t="shared" si="88"/>
        <v>98</v>
      </c>
      <c r="AL166">
        <f t="shared" si="89"/>
        <v>65</v>
      </c>
      <c r="AM166">
        <f t="shared" si="90"/>
        <v>97</v>
      </c>
      <c r="AN166">
        <f t="shared" si="84"/>
        <v>95.000190000380002</v>
      </c>
      <c r="AO166">
        <f t="shared" si="91"/>
        <v>92</v>
      </c>
      <c r="AP166">
        <f t="shared" si="92"/>
        <v>78.703642063647749</v>
      </c>
      <c r="AQ166">
        <f t="shared" si="114"/>
        <v>3</v>
      </c>
      <c r="AR166" t="str">
        <f t="shared" si="93"/>
        <v>POUCH-003</v>
      </c>
      <c r="AS166" s="15" t="s">
        <v>732</v>
      </c>
      <c r="AT166" s="15" t="s">
        <v>746</v>
      </c>
      <c r="AU166">
        <f t="shared" si="113"/>
        <v>45.454545454545446</v>
      </c>
      <c r="AV166">
        <f t="shared" si="94"/>
        <v>65</v>
      </c>
      <c r="AW166">
        <f t="shared" si="95"/>
        <v>98</v>
      </c>
      <c r="AX166">
        <f t="shared" si="96"/>
        <v>90</v>
      </c>
      <c r="AY166">
        <f t="shared" si="85"/>
        <v>95.000190000380002</v>
      </c>
      <c r="AZ166">
        <f t="shared" si="97"/>
        <v>97</v>
      </c>
      <c r="BA166">
        <f t="shared" si="98"/>
        <v>72.586373136382633</v>
      </c>
      <c r="BB166">
        <f t="shared" si="115"/>
        <v>3</v>
      </c>
      <c r="BC166" t="str">
        <f t="shared" si="99"/>
        <v>POUCH-003</v>
      </c>
    </row>
    <row r="167" spans="2:55" ht="39.6" x14ac:dyDescent="0.3">
      <c r="B167" s="5" t="s">
        <v>731</v>
      </c>
      <c r="C167" s="15" t="s">
        <v>732</v>
      </c>
      <c r="D167" s="5" t="s">
        <v>751</v>
      </c>
      <c r="E167" s="5" t="s">
        <v>752</v>
      </c>
      <c r="F167" s="5" t="s">
        <v>84</v>
      </c>
      <c r="G167" s="5">
        <v>150</v>
      </c>
      <c r="H167" s="5">
        <v>4.5</v>
      </c>
      <c r="I167" s="5">
        <v>10000</v>
      </c>
      <c r="J167" s="5">
        <v>45000</v>
      </c>
      <c r="K167" s="5">
        <v>21</v>
      </c>
      <c r="L167" s="5">
        <v>10</v>
      </c>
      <c r="M167" s="5">
        <v>0.1</v>
      </c>
      <c r="N167" s="5">
        <v>92</v>
      </c>
      <c r="O167" s="5" t="s">
        <v>154</v>
      </c>
      <c r="P167" s="5" t="s">
        <v>753</v>
      </c>
      <c r="Q167" s="5">
        <v>9.5</v>
      </c>
      <c r="R167" s="5">
        <v>8.5</v>
      </c>
      <c r="S167" s="5" t="s">
        <v>206</v>
      </c>
      <c r="T167" s="5">
        <v>9.1999999999999993</v>
      </c>
      <c r="U167" s="5" t="s">
        <v>36</v>
      </c>
      <c r="V167" s="5" t="s">
        <v>46</v>
      </c>
      <c r="W167" s="5">
        <v>1</v>
      </c>
      <c r="X167" s="5" t="s">
        <v>38</v>
      </c>
      <c r="Y167" s="5">
        <v>60</v>
      </c>
      <c r="Z167" s="5">
        <v>8.5</v>
      </c>
      <c r="AA167" s="5" t="s">
        <v>754</v>
      </c>
      <c r="AB167" s="5" t="s">
        <v>755</v>
      </c>
      <c r="AC167" s="5" t="s">
        <v>756</v>
      </c>
      <c r="AD167" s="5"/>
      <c r="AF167" s="15" t="s">
        <v>732</v>
      </c>
      <c r="AG167" s="15" t="s">
        <v>752</v>
      </c>
      <c r="AH167">
        <f t="shared" si="112"/>
        <v>22.727272727272734</v>
      </c>
      <c r="AI167">
        <f t="shared" si="86"/>
        <v>95</v>
      </c>
      <c r="AJ167" s="12">
        <f t="shared" si="87"/>
        <v>98</v>
      </c>
      <c r="AK167">
        <f t="shared" si="88"/>
        <v>92</v>
      </c>
      <c r="AL167">
        <f t="shared" si="89"/>
        <v>0</v>
      </c>
      <c r="AM167">
        <f t="shared" si="90"/>
        <v>70</v>
      </c>
      <c r="AN167">
        <f t="shared" si="84"/>
        <v>98.000196000391995</v>
      </c>
      <c r="AO167">
        <f t="shared" si="91"/>
        <v>85</v>
      </c>
      <c r="AP167">
        <f t="shared" si="92"/>
        <v>66.071824061829943</v>
      </c>
      <c r="AQ167">
        <f t="shared" si="114"/>
        <v>7</v>
      </c>
      <c r="AR167" t="str">
        <f t="shared" si="93"/>
        <v>POUCH-004</v>
      </c>
      <c r="AS167" s="15" t="s">
        <v>732</v>
      </c>
      <c r="AT167" s="15" t="s">
        <v>752</v>
      </c>
      <c r="AU167">
        <f t="shared" si="113"/>
        <v>22.727272727272734</v>
      </c>
      <c r="AV167">
        <f t="shared" si="94"/>
        <v>0</v>
      </c>
      <c r="AW167">
        <f t="shared" si="95"/>
        <v>92</v>
      </c>
      <c r="AX167">
        <f t="shared" si="96"/>
        <v>95</v>
      </c>
      <c r="AY167">
        <f t="shared" si="85"/>
        <v>98.000196000391995</v>
      </c>
      <c r="AZ167">
        <f t="shared" si="97"/>
        <v>70</v>
      </c>
      <c r="BA167">
        <f t="shared" si="98"/>
        <v>47.868191618201422</v>
      </c>
      <c r="BB167">
        <f t="shared" si="115"/>
        <v>8</v>
      </c>
      <c r="BC167" t="str">
        <f t="shared" si="99"/>
        <v>POUCH-004</v>
      </c>
    </row>
    <row r="168" spans="2:55" ht="39.6" x14ac:dyDescent="0.3">
      <c r="B168" s="5" t="s">
        <v>731</v>
      </c>
      <c r="C168" s="15" t="s">
        <v>732</v>
      </c>
      <c r="D168" s="5" t="s">
        <v>757</v>
      </c>
      <c r="E168" s="5" t="s">
        <v>758</v>
      </c>
      <c r="F168" s="5" t="s">
        <v>72</v>
      </c>
      <c r="G168" s="5">
        <v>20</v>
      </c>
      <c r="H168" s="5">
        <v>5</v>
      </c>
      <c r="I168" s="5">
        <v>20000</v>
      </c>
      <c r="J168" s="5">
        <v>100000</v>
      </c>
      <c r="K168" s="5">
        <v>10</v>
      </c>
      <c r="L168" s="5">
        <v>5</v>
      </c>
      <c r="M168" s="5">
        <v>0.4</v>
      </c>
      <c r="N168" s="5">
        <v>96</v>
      </c>
      <c r="O168" s="5">
        <v>45</v>
      </c>
      <c r="P168" s="5" t="s">
        <v>759</v>
      </c>
      <c r="Q168" s="5">
        <v>9.1999999999999993</v>
      </c>
      <c r="R168" s="5">
        <v>9</v>
      </c>
      <c r="S168" s="5" t="s">
        <v>760</v>
      </c>
      <c r="T168" s="5">
        <v>9.8000000000000007</v>
      </c>
      <c r="U168" s="5" t="s">
        <v>53</v>
      </c>
      <c r="V168" s="5" t="s">
        <v>54</v>
      </c>
      <c r="W168" s="5">
        <v>2</v>
      </c>
      <c r="X168" s="5" t="s">
        <v>38</v>
      </c>
      <c r="Y168" s="5">
        <v>25</v>
      </c>
      <c r="Z168" s="5">
        <v>9</v>
      </c>
      <c r="AA168" s="5" t="s">
        <v>761</v>
      </c>
      <c r="AB168" s="5" t="s">
        <v>762</v>
      </c>
      <c r="AC168" s="5" t="s">
        <v>738</v>
      </c>
      <c r="AD168" s="5"/>
      <c r="AF168" s="15" t="s">
        <v>732</v>
      </c>
      <c r="AG168" s="15" t="s">
        <v>758</v>
      </c>
      <c r="AH168">
        <f t="shared" si="112"/>
        <v>0</v>
      </c>
      <c r="AI168">
        <f t="shared" si="86"/>
        <v>92</v>
      </c>
      <c r="AJ168" s="12">
        <f t="shared" si="87"/>
        <v>92</v>
      </c>
      <c r="AK168">
        <f t="shared" si="88"/>
        <v>96</v>
      </c>
      <c r="AL168">
        <f t="shared" si="89"/>
        <v>50</v>
      </c>
      <c r="AM168">
        <f t="shared" si="90"/>
        <v>96</v>
      </c>
      <c r="AN168">
        <f t="shared" si="84"/>
        <v>96.000192000384004</v>
      </c>
      <c r="AO168">
        <f t="shared" si="91"/>
        <v>90</v>
      </c>
      <c r="AP168">
        <f t="shared" si="92"/>
        <v>65.680005760011525</v>
      </c>
      <c r="AQ168">
        <f t="shared" si="114"/>
        <v>8</v>
      </c>
      <c r="AR168" t="str">
        <f t="shared" si="93"/>
        <v>POUCH-005</v>
      </c>
      <c r="AS168" s="15" t="s">
        <v>732</v>
      </c>
      <c r="AT168" s="15" t="s">
        <v>758</v>
      </c>
      <c r="AU168">
        <f t="shared" si="113"/>
        <v>0</v>
      </c>
      <c r="AV168">
        <f t="shared" si="94"/>
        <v>50</v>
      </c>
      <c r="AW168">
        <f t="shared" si="95"/>
        <v>96</v>
      </c>
      <c r="AX168">
        <f t="shared" si="96"/>
        <v>92</v>
      </c>
      <c r="AY168">
        <f t="shared" si="85"/>
        <v>96.000192000384004</v>
      </c>
      <c r="AZ168">
        <f t="shared" si="97"/>
        <v>96</v>
      </c>
      <c r="BA168">
        <f t="shared" si="98"/>
        <v>55.100009600019206</v>
      </c>
      <c r="BB168">
        <f t="shared" si="115"/>
        <v>7</v>
      </c>
      <c r="BC168" t="str">
        <f t="shared" si="99"/>
        <v>POUCH-005</v>
      </c>
    </row>
    <row r="169" spans="2:55" ht="39.6" x14ac:dyDescent="0.3">
      <c r="B169" s="5" t="s">
        <v>731</v>
      </c>
      <c r="C169" s="15" t="s">
        <v>732</v>
      </c>
      <c r="D169" s="5" t="s">
        <v>763</v>
      </c>
      <c r="E169" s="5" t="s">
        <v>764</v>
      </c>
      <c r="F169" s="5" t="s">
        <v>78</v>
      </c>
      <c r="G169" s="5">
        <v>1400</v>
      </c>
      <c r="H169" s="5">
        <v>2.8</v>
      </c>
      <c r="I169" s="5">
        <v>200000</v>
      </c>
      <c r="J169" s="5">
        <v>560000</v>
      </c>
      <c r="K169" s="5">
        <v>7</v>
      </c>
      <c r="L169" s="5">
        <v>3</v>
      </c>
      <c r="M169" s="5">
        <v>1</v>
      </c>
      <c r="N169" s="5">
        <v>88</v>
      </c>
      <c r="O169" s="5">
        <v>90</v>
      </c>
      <c r="P169" s="5" t="s">
        <v>765</v>
      </c>
      <c r="Q169" s="5">
        <v>7</v>
      </c>
      <c r="R169" s="5">
        <v>8</v>
      </c>
      <c r="S169" s="5" t="s">
        <v>54</v>
      </c>
      <c r="T169" s="5">
        <v>6.5</v>
      </c>
      <c r="U169" s="5" t="s">
        <v>174</v>
      </c>
      <c r="V169" s="5" t="s">
        <v>54</v>
      </c>
      <c r="W169" s="5">
        <v>3</v>
      </c>
      <c r="X169" s="5" t="s">
        <v>68</v>
      </c>
      <c r="Y169" s="5">
        <v>15</v>
      </c>
      <c r="Z169" s="5">
        <v>6.5</v>
      </c>
      <c r="AA169" s="5" t="s">
        <v>766</v>
      </c>
      <c r="AB169" s="5" t="s">
        <v>767</v>
      </c>
      <c r="AC169" s="5" t="s">
        <v>768</v>
      </c>
      <c r="AD169" s="5"/>
      <c r="AF169" s="15" t="s">
        <v>732</v>
      </c>
      <c r="AG169" s="15" t="s">
        <v>764</v>
      </c>
      <c r="AH169">
        <f t="shared" si="112"/>
        <v>100</v>
      </c>
      <c r="AI169">
        <f t="shared" si="86"/>
        <v>70</v>
      </c>
      <c r="AJ169" s="12">
        <f t="shared" si="87"/>
        <v>80</v>
      </c>
      <c r="AK169">
        <f t="shared" si="88"/>
        <v>88</v>
      </c>
      <c r="AL169">
        <f t="shared" si="89"/>
        <v>65</v>
      </c>
      <c r="AM169">
        <f t="shared" si="90"/>
        <v>0</v>
      </c>
      <c r="AN169">
        <f t="shared" si="84"/>
        <v>60.000120000239995</v>
      </c>
      <c r="AO169">
        <f t="shared" si="91"/>
        <v>65</v>
      </c>
      <c r="AP169">
        <f t="shared" si="92"/>
        <v>77.300003600007201</v>
      </c>
      <c r="AQ169">
        <f t="shared" si="114"/>
        <v>4</v>
      </c>
      <c r="AR169" t="str">
        <f t="shared" si="93"/>
        <v>POUCH-006</v>
      </c>
      <c r="AS169" s="15" t="s">
        <v>732</v>
      </c>
      <c r="AT169" s="15" t="s">
        <v>764</v>
      </c>
      <c r="AU169">
        <f t="shared" si="113"/>
        <v>100</v>
      </c>
      <c r="AV169">
        <f t="shared" si="94"/>
        <v>65</v>
      </c>
      <c r="AW169">
        <f t="shared" si="95"/>
        <v>88</v>
      </c>
      <c r="AX169">
        <f t="shared" si="96"/>
        <v>70</v>
      </c>
      <c r="AY169">
        <f t="shared" si="85"/>
        <v>60.000120000239995</v>
      </c>
      <c r="AZ169">
        <f t="shared" si="97"/>
        <v>0</v>
      </c>
      <c r="BA169">
        <f t="shared" si="98"/>
        <v>77.350006000012002</v>
      </c>
      <c r="BB169">
        <f t="shared" si="115"/>
        <v>1</v>
      </c>
      <c r="BC169" t="str">
        <f t="shared" si="99"/>
        <v>POUCH-006</v>
      </c>
    </row>
    <row r="170" spans="2:55" ht="39.6" x14ac:dyDescent="0.3">
      <c r="B170" s="5" t="s">
        <v>731</v>
      </c>
      <c r="C170" s="15" t="s">
        <v>732</v>
      </c>
      <c r="D170" s="5" t="s">
        <v>769</v>
      </c>
      <c r="E170" s="5" t="s">
        <v>770</v>
      </c>
      <c r="F170" s="5" t="s">
        <v>33</v>
      </c>
      <c r="G170" s="5">
        <v>65</v>
      </c>
      <c r="H170" s="5">
        <v>4.2</v>
      </c>
      <c r="I170" s="5">
        <v>30000</v>
      </c>
      <c r="J170" s="5">
        <v>126000</v>
      </c>
      <c r="K170" s="5">
        <v>10</v>
      </c>
      <c r="L170" s="5">
        <v>5</v>
      </c>
      <c r="M170" s="5">
        <v>0.6</v>
      </c>
      <c r="N170" s="5">
        <v>95</v>
      </c>
      <c r="O170" s="5">
        <v>60</v>
      </c>
      <c r="P170" s="5" t="s">
        <v>771</v>
      </c>
      <c r="Q170" s="5">
        <v>8.3000000000000007</v>
      </c>
      <c r="R170" s="5">
        <v>9.3000000000000007</v>
      </c>
      <c r="S170" s="5" t="s">
        <v>67</v>
      </c>
      <c r="T170" s="5">
        <v>8.3000000000000007</v>
      </c>
      <c r="U170" s="5" t="s">
        <v>53</v>
      </c>
      <c r="V170" s="5" t="s">
        <v>37</v>
      </c>
      <c r="W170" s="5">
        <v>2</v>
      </c>
      <c r="X170" s="5" t="s">
        <v>38</v>
      </c>
      <c r="Y170" s="5">
        <v>35</v>
      </c>
      <c r="Z170" s="5">
        <v>8.6999999999999993</v>
      </c>
      <c r="AA170" s="5" t="s">
        <v>772</v>
      </c>
      <c r="AB170" s="5" t="s">
        <v>773</v>
      </c>
      <c r="AC170" s="5" t="s">
        <v>774</v>
      </c>
      <c r="AD170" s="5"/>
      <c r="AF170" s="15" t="s">
        <v>732</v>
      </c>
      <c r="AG170" s="15" t="s">
        <v>770</v>
      </c>
      <c r="AH170">
        <f t="shared" si="112"/>
        <v>36.363636363636353</v>
      </c>
      <c r="AI170">
        <f t="shared" si="86"/>
        <v>83</v>
      </c>
      <c r="AJ170" s="12">
        <f t="shared" si="87"/>
        <v>88</v>
      </c>
      <c r="AK170">
        <f t="shared" si="88"/>
        <v>95</v>
      </c>
      <c r="AL170">
        <f t="shared" si="89"/>
        <v>50</v>
      </c>
      <c r="AM170">
        <f t="shared" si="90"/>
        <v>87</v>
      </c>
      <c r="AN170">
        <f t="shared" si="84"/>
        <v>94.000188000375999</v>
      </c>
      <c r="AO170">
        <f t="shared" si="91"/>
        <v>87</v>
      </c>
      <c r="AP170">
        <f t="shared" si="92"/>
        <v>71.200914730920346</v>
      </c>
      <c r="AQ170">
        <f t="shared" si="114"/>
        <v>6</v>
      </c>
      <c r="AR170" t="str">
        <f t="shared" si="93"/>
        <v>POUCH-007</v>
      </c>
      <c r="AS170" s="15" t="s">
        <v>732</v>
      </c>
      <c r="AT170" s="15" t="s">
        <v>770</v>
      </c>
      <c r="AU170">
        <f t="shared" si="113"/>
        <v>36.363636363636353</v>
      </c>
      <c r="AV170">
        <f t="shared" si="94"/>
        <v>50</v>
      </c>
      <c r="AW170">
        <f t="shared" si="95"/>
        <v>95</v>
      </c>
      <c r="AX170">
        <f t="shared" si="96"/>
        <v>83</v>
      </c>
      <c r="AY170">
        <f t="shared" si="85"/>
        <v>94.000188000375999</v>
      </c>
      <c r="AZ170">
        <f t="shared" si="97"/>
        <v>87</v>
      </c>
      <c r="BA170">
        <f t="shared" si="98"/>
        <v>63.909100309109711</v>
      </c>
      <c r="BB170">
        <f t="shared" si="115"/>
        <v>5</v>
      </c>
      <c r="BC170" t="str">
        <f t="shared" si="99"/>
        <v>POUCH-007</v>
      </c>
    </row>
    <row r="171" spans="2:55" ht="39.6" x14ac:dyDescent="0.3">
      <c r="B171" s="5" t="s">
        <v>731</v>
      </c>
      <c r="C171" s="15" t="s">
        <v>732</v>
      </c>
      <c r="D171" s="5" t="s">
        <v>775</v>
      </c>
      <c r="E171" s="5" t="s">
        <v>776</v>
      </c>
      <c r="F171" s="5" t="s">
        <v>59</v>
      </c>
      <c r="G171" s="5">
        <v>200</v>
      </c>
      <c r="H171" s="5">
        <v>3.8</v>
      </c>
      <c r="I171" s="5">
        <v>40000</v>
      </c>
      <c r="J171" s="5">
        <v>152000</v>
      </c>
      <c r="K171" s="5">
        <v>14</v>
      </c>
      <c r="L171" s="5">
        <v>7</v>
      </c>
      <c r="M171" s="5">
        <v>0.5</v>
      </c>
      <c r="N171" s="5">
        <v>94</v>
      </c>
      <c r="O171" s="5">
        <v>45</v>
      </c>
      <c r="P171" s="5" t="s">
        <v>777</v>
      </c>
      <c r="Q171" s="5">
        <v>8.8000000000000007</v>
      </c>
      <c r="R171" s="5">
        <v>8.8000000000000007</v>
      </c>
      <c r="S171" s="5" t="s">
        <v>74</v>
      </c>
      <c r="T171" s="5">
        <v>8.5</v>
      </c>
      <c r="U171" s="5" t="s">
        <v>53</v>
      </c>
      <c r="V171" s="5" t="s">
        <v>46</v>
      </c>
      <c r="W171" s="5">
        <v>2</v>
      </c>
      <c r="X171" s="5" t="s">
        <v>38</v>
      </c>
      <c r="Y171" s="5">
        <v>40</v>
      </c>
      <c r="Z171" s="5">
        <v>8.5</v>
      </c>
      <c r="AA171" s="5" t="s">
        <v>778</v>
      </c>
      <c r="AB171" s="5" t="s">
        <v>737</v>
      </c>
      <c r="AC171" s="5" t="s">
        <v>779</v>
      </c>
      <c r="AD171" s="5"/>
      <c r="AF171" s="15" t="s">
        <v>732</v>
      </c>
      <c r="AG171" s="15" t="s">
        <v>776</v>
      </c>
      <c r="AH171">
        <f t="shared" si="112"/>
        <v>54.545454545454547</v>
      </c>
      <c r="AI171">
        <f t="shared" si="86"/>
        <v>88</v>
      </c>
      <c r="AJ171" s="12">
        <f t="shared" si="87"/>
        <v>90</v>
      </c>
      <c r="AK171">
        <f t="shared" si="88"/>
        <v>94</v>
      </c>
      <c r="AL171">
        <f t="shared" si="89"/>
        <v>30</v>
      </c>
      <c r="AM171">
        <f t="shared" si="90"/>
        <v>60</v>
      </c>
      <c r="AN171">
        <f t="shared" si="84"/>
        <v>92.000184000367994</v>
      </c>
      <c r="AO171">
        <f t="shared" si="91"/>
        <v>85</v>
      </c>
      <c r="AP171">
        <f t="shared" si="92"/>
        <v>73.696369156374686</v>
      </c>
      <c r="AQ171">
        <f t="shared" si="114"/>
        <v>5</v>
      </c>
      <c r="AR171" t="str">
        <f t="shared" si="93"/>
        <v>POUCH-008</v>
      </c>
      <c r="AS171" s="15" t="s">
        <v>732</v>
      </c>
      <c r="AT171" s="15" t="s">
        <v>776</v>
      </c>
      <c r="AU171">
        <f t="shared" si="113"/>
        <v>54.545454545454547</v>
      </c>
      <c r="AV171">
        <f t="shared" si="94"/>
        <v>30</v>
      </c>
      <c r="AW171">
        <f t="shared" si="95"/>
        <v>94</v>
      </c>
      <c r="AX171">
        <f t="shared" si="96"/>
        <v>88</v>
      </c>
      <c r="AY171">
        <f t="shared" si="85"/>
        <v>92.000184000367994</v>
      </c>
      <c r="AZ171">
        <f t="shared" si="97"/>
        <v>60</v>
      </c>
      <c r="BA171">
        <f t="shared" si="98"/>
        <v>63.463645563654758</v>
      </c>
      <c r="BB171">
        <f t="shared" si="115"/>
        <v>6</v>
      </c>
      <c r="BC171" t="str">
        <f t="shared" si="99"/>
        <v>POUCH-008</v>
      </c>
    </row>
    <row r="172" spans="2:55" ht="39.6" x14ac:dyDescent="0.3">
      <c r="B172" s="5" t="s">
        <v>731</v>
      </c>
      <c r="C172" s="15" t="s">
        <v>780</v>
      </c>
      <c r="D172" s="5" t="s">
        <v>781</v>
      </c>
      <c r="E172" s="5" t="s">
        <v>782</v>
      </c>
      <c r="F172" s="5" t="s">
        <v>72</v>
      </c>
      <c r="G172" s="5">
        <v>10</v>
      </c>
      <c r="H172" s="5">
        <v>0.8</v>
      </c>
      <c r="I172" s="5">
        <v>50000</v>
      </c>
      <c r="J172" s="5">
        <v>40000</v>
      </c>
      <c r="K172" s="5">
        <v>7</v>
      </c>
      <c r="L172" s="5">
        <v>3</v>
      </c>
      <c r="M172" s="5">
        <v>0.1</v>
      </c>
      <c r="N172" s="5">
        <v>99</v>
      </c>
      <c r="O172" s="5">
        <v>45</v>
      </c>
      <c r="P172" s="5" t="s">
        <v>765</v>
      </c>
      <c r="Q172" s="5">
        <v>9</v>
      </c>
      <c r="R172" s="5">
        <v>9.8000000000000007</v>
      </c>
      <c r="S172" s="5" t="s">
        <v>67</v>
      </c>
      <c r="T172" s="5">
        <v>8.5</v>
      </c>
      <c r="U172" s="5" t="s">
        <v>36</v>
      </c>
      <c r="V172" s="5" t="s">
        <v>37</v>
      </c>
      <c r="W172" s="5">
        <v>1</v>
      </c>
      <c r="X172" s="5" t="s">
        <v>38</v>
      </c>
      <c r="Y172" s="5">
        <v>20</v>
      </c>
      <c r="Z172" s="5">
        <v>9.5</v>
      </c>
      <c r="AA172" s="5" t="s">
        <v>783</v>
      </c>
      <c r="AB172" s="5" t="s">
        <v>784</v>
      </c>
      <c r="AC172" s="5" t="s">
        <v>785</v>
      </c>
      <c r="AD172" s="5"/>
      <c r="AF172" s="15" t="s">
        <v>780</v>
      </c>
      <c r="AG172" s="15" t="s">
        <v>782</v>
      </c>
      <c r="AH172">
        <f t="shared" ref="AH172:AH179" si="116">100-((H172-MIN($H$172:$H$179))/(MAX($H$172:$H$179)-MIN($H$172:$H$179))*100)</f>
        <v>80</v>
      </c>
      <c r="AI172">
        <f t="shared" si="86"/>
        <v>90</v>
      </c>
      <c r="AJ172" s="12">
        <f t="shared" si="87"/>
        <v>98</v>
      </c>
      <c r="AK172">
        <f t="shared" si="88"/>
        <v>99</v>
      </c>
      <c r="AL172">
        <f t="shared" si="89"/>
        <v>65</v>
      </c>
      <c r="AM172">
        <f t="shared" si="90"/>
        <v>98</v>
      </c>
      <c r="AN172">
        <f t="shared" si="84"/>
        <v>90.000180000360004</v>
      </c>
      <c r="AO172">
        <f t="shared" si="91"/>
        <v>95</v>
      </c>
      <c r="AP172">
        <f t="shared" si="92"/>
        <v>88.050005400010804</v>
      </c>
      <c r="AQ172">
        <f>RANK(AP172, $AP$172:$AP$179, 0)</f>
        <v>1</v>
      </c>
      <c r="AR172" t="str">
        <f t="shared" si="93"/>
        <v>LABEL-001</v>
      </c>
      <c r="AS172" s="15" t="s">
        <v>780</v>
      </c>
      <c r="AT172" s="15" t="s">
        <v>782</v>
      </c>
      <c r="AU172">
        <f t="shared" ref="AU172:AU179" si="117">100-((H172-MIN($H$172:$H$179))/(MAX($H$172:$H$179)-MIN($H$172:$H$179))*100)</f>
        <v>80</v>
      </c>
      <c r="AV172">
        <f t="shared" si="94"/>
        <v>65</v>
      </c>
      <c r="AW172">
        <f t="shared" si="95"/>
        <v>99</v>
      </c>
      <c r="AX172">
        <f t="shared" si="96"/>
        <v>90</v>
      </c>
      <c r="AY172">
        <f t="shared" si="85"/>
        <v>90.000180000360004</v>
      </c>
      <c r="AZ172">
        <f t="shared" si="97"/>
        <v>98</v>
      </c>
      <c r="BA172">
        <f t="shared" si="98"/>
        <v>82.950009000017999</v>
      </c>
      <c r="BB172">
        <f>RANK(BA172, $BA$172:$BA$179, 0)</f>
        <v>1</v>
      </c>
      <c r="BC172" t="str">
        <f t="shared" si="99"/>
        <v>LABEL-001</v>
      </c>
    </row>
    <row r="173" spans="2:55" ht="39.6" x14ac:dyDescent="0.3">
      <c r="B173" s="5" t="s">
        <v>731</v>
      </c>
      <c r="C173" s="15" t="s">
        <v>780</v>
      </c>
      <c r="D173" s="5" t="s">
        <v>786</v>
      </c>
      <c r="E173" s="5" t="s">
        <v>787</v>
      </c>
      <c r="F173" s="5" t="s">
        <v>524</v>
      </c>
      <c r="G173" s="5">
        <v>30</v>
      </c>
      <c r="H173" s="5">
        <v>0.7</v>
      </c>
      <c r="I173" s="5">
        <v>100000</v>
      </c>
      <c r="J173" s="5">
        <v>70000</v>
      </c>
      <c r="K173" s="5">
        <v>10</v>
      </c>
      <c r="L173" s="5">
        <v>5</v>
      </c>
      <c r="M173" s="5">
        <v>0.2</v>
      </c>
      <c r="N173" s="5">
        <v>98</v>
      </c>
      <c r="O173" s="5">
        <v>60</v>
      </c>
      <c r="P173" s="5" t="s">
        <v>788</v>
      </c>
      <c r="Q173" s="5">
        <v>8.5</v>
      </c>
      <c r="R173" s="5">
        <v>9.5</v>
      </c>
      <c r="S173" s="5" t="s">
        <v>52</v>
      </c>
      <c r="T173" s="5">
        <v>8</v>
      </c>
      <c r="U173" s="5" t="s">
        <v>53</v>
      </c>
      <c r="V173" s="5" t="s">
        <v>46</v>
      </c>
      <c r="W173" s="5">
        <v>2</v>
      </c>
      <c r="X173" s="5" t="s">
        <v>38</v>
      </c>
      <c r="Y173" s="5">
        <v>30</v>
      </c>
      <c r="Z173" s="5">
        <v>9</v>
      </c>
      <c r="AA173" s="5" t="s">
        <v>789</v>
      </c>
      <c r="AB173" s="5" t="s">
        <v>790</v>
      </c>
      <c r="AC173" s="5" t="s">
        <v>791</v>
      </c>
      <c r="AD173" s="5"/>
      <c r="AF173" s="15" t="s">
        <v>780</v>
      </c>
      <c r="AG173" s="15" t="s">
        <v>787</v>
      </c>
      <c r="AH173">
        <f t="shared" si="116"/>
        <v>86.666666666666671</v>
      </c>
      <c r="AI173">
        <f t="shared" si="86"/>
        <v>85</v>
      </c>
      <c r="AJ173" s="12">
        <f t="shared" si="87"/>
        <v>96</v>
      </c>
      <c r="AK173">
        <f t="shared" si="88"/>
        <v>98</v>
      </c>
      <c r="AL173">
        <f t="shared" si="89"/>
        <v>50</v>
      </c>
      <c r="AM173">
        <f t="shared" si="90"/>
        <v>94</v>
      </c>
      <c r="AN173">
        <f t="shared" si="84"/>
        <v>80.000160000319994</v>
      </c>
      <c r="AO173">
        <f t="shared" si="91"/>
        <v>90</v>
      </c>
      <c r="AP173">
        <f t="shared" si="92"/>
        <v>85.916671466676263</v>
      </c>
      <c r="AQ173">
        <f t="shared" ref="AQ173:AQ179" si="118">RANK(AP173, $AP$172:$AP$179, 0)</f>
        <v>2</v>
      </c>
      <c r="AR173" t="str">
        <f t="shared" si="93"/>
        <v>LABEL-002</v>
      </c>
      <c r="AS173" s="15" t="s">
        <v>780</v>
      </c>
      <c r="AT173" s="15" t="s">
        <v>787</v>
      </c>
      <c r="AU173">
        <f t="shared" si="117"/>
        <v>86.666666666666671</v>
      </c>
      <c r="AV173">
        <f t="shared" si="94"/>
        <v>50</v>
      </c>
      <c r="AW173">
        <f t="shared" si="95"/>
        <v>98</v>
      </c>
      <c r="AX173">
        <f t="shared" si="96"/>
        <v>85</v>
      </c>
      <c r="AY173">
        <f t="shared" si="85"/>
        <v>80.000160000319994</v>
      </c>
      <c r="AZ173">
        <f t="shared" si="97"/>
        <v>94</v>
      </c>
      <c r="BA173">
        <f t="shared" si="98"/>
        <v>79.550008000015993</v>
      </c>
      <c r="BB173">
        <f t="shared" ref="BB173:BB179" si="119">RANK(BA173, $BA$172:$BA$179, 0)</f>
        <v>3</v>
      </c>
      <c r="BC173" t="str">
        <f t="shared" si="99"/>
        <v>LABEL-002</v>
      </c>
    </row>
    <row r="174" spans="2:55" ht="39.6" x14ac:dyDescent="0.3">
      <c r="B174" s="5" t="s">
        <v>731</v>
      </c>
      <c r="C174" s="15" t="s">
        <v>780</v>
      </c>
      <c r="D174" s="5" t="s">
        <v>792</v>
      </c>
      <c r="E174" s="5" t="s">
        <v>793</v>
      </c>
      <c r="F174" s="5" t="s">
        <v>223</v>
      </c>
      <c r="G174" s="5">
        <v>40</v>
      </c>
      <c r="H174" s="5">
        <v>1.2</v>
      </c>
      <c r="I174" s="5">
        <v>25000</v>
      </c>
      <c r="J174" s="5">
        <v>30000</v>
      </c>
      <c r="K174" s="5">
        <v>5</v>
      </c>
      <c r="L174" s="5">
        <v>2</v>
      </c>
      <c r="M174" s="5">
        <v>0.05</v>
      </c>
      <c r="N174" s="5">
        <v>99</v>
      </c>
      <c r="O174" s="5">
        <v>30</v>
      </c>
      <c r="P174" s="5" t="s">
        <v>735</v>
      </c>
      <c r="Q174" s="5">
        <v>9.5</v>
      </c>
      <c r="R174" s="5">
        <v>9.9</v>
      </c>
      <c r="S174" s="5" t="s">
        <v>404</v>
      </c>
      <c r="T174" s="5">
        <v>9.1999999999999993</v>
      </c>
      <c r="U174" s="5" t="s">
        <v>36</v>
      </c>
      <c r="V174" s="5" t="s">
        <v>37</v>
      </c>
      <c r="W174" s="5">
        <v>1</v>
      </c>
      <c r="X174" s="5" t="s">
        <v>38</v>
      </c>
      <c r="Y174" s="5">
        <v>15</v>
      </c>
      <c r="Z174" s="5">
        <v>9.8000000000000007</v>
      </c>
      <c r="AA174" s="5" t="s">
        <v>794</v>
      </c>
      <c r="AB174" s="5" t="s">
        <v>795</v>
      </c>
      <c r="AC174" s="5" t="s">
        <v>796</v>
      </c>
      <c r="AD174" s="5"/>
      <c r="AF174" s="15" t="s">
        <v>780</v>
      </c>
      <c r="AG174" s="15" t="s">
        <v>793</v>
      </c>
      <c r="AH174">
        <f t="shared" si="116"/>
        <v>53.333333333333336</v>
      </c>
      <c r="AI174">
        <f t="shared" si="86"/>
        <v>95</v>
      </c>
      <c r="AJ174" s="12">
        <f t="shared" si="87"/>
        <v>99</v>
      </c>
      <c r="AK174">
        <f t="shared" si="88"/>
        <v>99</v>
      </c>
      <c r="AL174">
        <f t="shared" si="89"/>
        <v>75</v>
      </c>
      <c r="AM174">
        <f t="shared" si="90"/>
        <v>92</v>
      </c>
      <c r="AN174">
        <f t="shared" si="84"/>
        <v>95.000190000380002</v>
      </c>
      <c r="AO174">
        <f t="shared" si="91"/>
        <v>98</v>
      </c>
      <c r="AP174">
        <f t="shared" si="92"/>
        <v>83.693339033344714</v>
      </c>
      <c r="AQ174">
        <f t="shared" si="118"/>
        <v>4</v>
      </c>
      <c r="AR174" t="str">
        <f t="shared" si="93"/>
        <v>LABEL-003</v>
      </c>
      <c r="AS174" s="15" t="s">
        <v>780</v>
      </c>
      <c r="AT174" s="15" t="s">
        <v>793</v>
      </c>
      <c r="AU174">
        <f t="shared" si="117"/>
        <v>53.333333333333336</v>
      </c>
      <c r="AV174">
        <f t="shared" si="94"/>
        <v>75</v>
      </c>
      <c r="AW174">
        <f t="shared" si="95"/>
        <v>99</v>
      </c>
      <c r="AX174">
        <f t="shared" si="96"/>
        <v>95</v>
      </c>
      <c r="AY174">
        <f t="shared" si="85"/>
        <v>95.000190000380002</v>
      </c>
      <c r="AZ174">
        <f t="shared" si="97"/>
        <v>92</v>
      </c>
      <c r="BA174">
        <f t="shared" si="98"/>
        <v>78.150009500018996</v>
      </c>
      <c r="BB174">
        <f t="shared" si="119"/>
        <v>4</v>
      </c>
      <c r="BC174" t="str">
        <f t="shared" si="99"/>
        <v>LABEL-003</v>
      </c>
    </row>
    <row r="175" spans="2:55" ht="39.6" x14ac:dyDescent="0.3">
      <c r="B175" s="5" t="s">
        <v>731</v>
      </c>
      <c r="C175" s="15" t="s">
        <v>780</v>
      </c>
      <c r="D175" s="5" t="s">
        <v>797</v>
      </c>
      <c r="E175" s="5" t="s">
        <v>798</v>
      </c>
      <c r="F175" s="5" t="s">
        <v>78</v>
      </c>
      <c r="G175" s="5">
        <v>1400</v>
      </c>
      <c r="H175" s="5">
        <v>0.5</v>
      </c>
      <c r="I175" s="5">
        <v>200000</v>
      </c>
      <c r="J175" s="5">
        <v>100000</v>
      </c>
      <c r="K175" s="5">
        <v>14</v>
      </c>
      <c r="L175" s="5">
        <v>7</v>
      </c>
      <c r="M175" s="5">
        <v>0.3</v>
      </c>
      <c r="N175" s="5">
        <v>90</v>
      </c>
      <c r="O175" s="5">
        <v>90</v>
      </c>
      <c r="P175" s="5" t="s">
        <v>799</v>
      </c>
      <c r="Q175" s="5">
        <v>7.5</v>
      </c>
      <c r="R175" s="5">
        <v>8.5</v>
      </c>
      <c r="S175" s="5" t="s">
        <v>54</v>
      </c>
      <c r="T175" s="5">
        <v>6.5</v>
      </c>
      <c r="U175" s="5" t="s">
        <v>174</v>
      </c>
      <c r="V175" s="5" t="s">
        <v>54</v>
      </c>
      <c r="W175" s="5">
        <v>3</v>
      </c>
      <c r="X175" s="5" t="s">
        <v>68</v>
      </c>
      <c r="Y175" s="5">
        <v>10</v>
      </c>
      <c r="Z175" s="5">
        <v>7</v>
      </c>
      <c r="AA175" s="5" t="s">
        <v>800</v>
      </c>
      <c r="AB175" s="5" t="s">
        <v>47</v>
      </c>
      <c r="AC175" s="5" t="s">
        <v>801</v>
      </c>
      <c r="AD175" s="5"/>
      <c r="AF175" s="15" t="s">
        <v>780</v>
      </c>
      <c r="AG175" s="15" t="s">
        <v>798</v>
      </c>
      <c r="AH175">
        <f t="shared" si="116"/>
        <v>100</v>
      </c>
      <c r="AI175">
        <f t="shared" si="86"/>
        <v>75</v>
      </c>
      <c r="AJ175" s="12">
        <f t="shared" si="87"/>
        <v>94</v>
      </c>
      <c r="AK175">
        <f t="shared" si="88"/>
        <v>90</v>
      </c>
      <c r="AL175">
        <f t="shared" si="89"/>
        <v>30</v>
      </c>
      <c r="AM175">
        <f t="shared" si="90"/>
        <v>0</v>
      </c>
      <c r="AN175">
        <f t="shared" si="84"/>
        <v>60.000120000239995</v>
      </c>
      <c r="AO175">
        <f t="shared" si="91"/>
        <v>70</v>
      </c>
      <c r="AP175">
        <f t="shared" si="92"/>
        <v>77.550003600007201</v>
      </c>
      <c r="AQ175">
        <f t="shared" si="118"/>
        <v>6</v>
      </c>
      <c r="AR175" t="str">
        <f t="shared" si="93"/>
        <v>LABEL-004</v>
      </c>
      <c r="AS175" s="15" t="s">
        <v>780</v>
      </c>
      <c r="AT175" s="15" t="s">
        <v>798</v>
      </c>
      <c r="AU175">
        <f t="shared" si="117"/>
        <v>100</v>
      </c>
      <c r="AV175">
        <f t="shared" si="94"/>
        <v>30</v>
      </c>
      <c r="AW175">
        <f t="shared" si="95"/>
        <v>90</v>
      </c>
      <c r="AX175">
        <f t="shared" si="96"/>
        <v>75</v>
      </c>
      <c r="AY175">
        <f t="shared" si="85"/>
        <v>60.000120000239995</v>
      </c>
      <c r="AZ175">
        <f t="shared" si="97"/>
        <v>0</v>
      </c>
      <c r="BA175">
        <f t="shared" si="98"/>
        <v>69.750006000012007</v>
      </c>
      <c r="BB175">
        <f t="shared" si="119"/>
        <v>6</v>
      </c>
      <c r="BC175" t="str">
        <f t="shared" si="99"/>
        <v>LABEL-004</v>
      </c>
    </row>
    <row r="176" spans="2:55" ht="39.6" x14ac:dyDescent="0.3">
      <c r="B176" s="5" t="s">
        <v>731</v>
      </c>
      <c r="C176" s="15" t="s">
        <v>780</v>
      </c>
      <c r="D176" s="5" t="s">
        <v>802</v>
      </c>
      <c r="E176" s="5" t="s">
        <v>803</v>
      </c>
      <c r="F176" s="5" t="s">
        <v>84</v>
      </c>
      <c r="G176" s="5">
        <v>150</v>
      </c>
      <c r="H176" s="5">
        <v>1.5</v>
      </c>
      <c r="I176" s="5">
        <v>30000</v>
      </c>
      <c r="J176" s="5">
        <v>45000</v>
      </c>
      <c r="K176" s="5">
        <v>10</v>
      </c>
      <c r="L176" s="5">
        <v>5</v>
      </c>
      <c r="M176" s="5">
        <v>0.1</v>
      </c>
      <c r="N176" s="5">
        <v>95</v>
      </c>
      <c r="O176" s="5">
        <v>45</v>
      </c>
      <c r="P176" s="5" t="s">
        <v>804</v>
      </c>
      <c r="Q176" s="5">
        <v>9.1999999999999993</v>
      </c>
      <c r="R176" s="5">
        <v>9.1999999999999993</v>
      </c>
      <c r="S176" s="5" t="s">
        <v>805</v>
      </c>
      <c r="T176" s="5">
        <v>9.5</v>
      </c>
      <c r="U176" s="5" t="s">
        <v>53</v>
      </c>
      <c r="V176" s="5" t="s">
        <v>54</v>
      </c>
      <c r="W176" s="5">
        <v>2</v>
      </c>
      <c r="X176" s="5" t="s">
        <v>38</v>
      </c>
      <c r="Y176" s="5">
        <v>25</v>
      </c>
      <c r="Z176" s="5">
        <v>9.1999999999999993</v>
      </c>
      <c r="AA176" s="5" t="s">
        <v>806</v>
      </c>
      <c r="AB176" s="5" t="s">
        <v>807</v>
      </c>
      <c r="AC176" s="5" t="s">
        <v>808</v>
      </c>
      <c r="AD176" s="5"/>
      <c r="AF176" s="15" t="s">
        <v>780</v>
      </c>
      <c r="AG176" s="15" t="s">
        <v>803</v>
      </c>
      <c r="AH176">
        <f t="shared" si="116"/>
        <v>33.333333333333343</v>
      </c>
      <c r="AI176">
        <f t="shared" si="86"/>
        <v>92</v>
      </c>
      <c r="AJ176" s="12">
        <f t="shared" si="87"/>
        <v>98</v>
      </c>
      <c r="AK176">
        <f t="shared" si="88"/>
        <v>95</v>
      </c>
      <c r="AL176">
        <f t="shared" si="89"/>
        <v>50</v>
      </c>
      <c r="AM176">
        <f t="shared" si="90"/>
        <v>70</v>
      </c>
      <c r="AN176">
        <f t="shared" si="84"/>
        <v>94.000188000375999</v>
      </c>
      <c r="AO176">
        <f t="shared" si="91"/>
        <v>92</v>
      </c>
      <c r="AP176">
        <f t="shared" si="92"/>
        <v>73.443338973344609</v>
      </c>
      <c r="AQ176">
        <f t="shared" si="118"/>
        <v>7</v>
      </c>
      <c r="AR176" t="str">
        <f t="shared" si="93"/>
        <v>LABEL-005</v>
      </c>
      <c r="AS176" s="15" t="s">
        <v>780</v>
      </c>
      <c r="AT176" s="15" t="s">
        <v>803</v>
      </c>
      <c r="AU176">
        <f t="shared" si="117"/>
        <v>33.333333333333343</v>
      </c>
      <c r="AV176">
        <f t="shared" si="94"/>
        <v>50</v>
      </c>
      <c r="AW176">
        <f t="shared" si="95"/>
        <v>95</v>
      </c>
      <c r="AX176">
        <f t="shared" si="96"/>
        <v>92</v>
      </c>
      <c r="AY176">
        <f t="shared" si="85"/>
        <v>94.000188000375999</v>
      </c>
      <c r="AZ176">
        <f t="shared" si="97"/>
        <v>70</v>
      </c>
      <c r="BA176">
        <f t="shared" si="98"/>
        <v>63.500009400018797</v>
      </c>
      <c r="BB176">
        <f t="shared" si="119"/>
        <v>7</v>
      </c>
      <c r="BC176" t="str">
        <f t="shared" si="99"/>
        <v>LABEL-005</v>
      </c>
    </row>
    <row r="177" spans="2:55" ht="39.6" x14ac:dyDescent="0.3">
      <c r="B177" s="5" t="s">
        <v>731</v>
      </c>
      <c r="C177" s="15" t="s">
        <v>780</v>
      </c>
      <c r="D177" s="5" t="s">
        <v>809</v>
      </c>
      <c r="E177" s="5" t="s">
        <v>810</v>
      </c>
      <c r="F177" s="5" t="s">
        <v>72</v>
      </c>
      <c r="G177" s="5">
        <v>15</v>
      </c>
      <c r="H177" s="5">
        <v>2</v>
      </c>
      <c r="I177" s="5">
        <v>20000</v>
      </c>
      <c r="J177" s="5">
        <v>40000</v>
      </c>
      <c r="K177" s="5">
        <v>14</v>
      </c>
      <c r="L177" s="5">
        <v>7</v>
      </c>
      <c r="M177" s="5">
        <v>0.08</v>
      </c>
      <c r="N177" s="5">
        <v>96</v>
      </c>
      <c r="O177" s="5">
        <v>60</v>
      </c>
      <c r="P177" s="5" t="s">
        <v>759</v>
      </c>
      <c r="Q177" s="5">
        <v>9.8000000000000007</v>
      </c>
      <c r="R177" s="5">
        <v>9</v>
      </c>
      <c r="S177" s="5" t="s">
        <v>811</v>
      </c>
      <c r="T177" s="5">
        <v>9.8000000000000007</v>
      </c>
      <c r="U177" s="5" t="s">
        <v>36</v>
      </c>
      <c r="V177" s="5" t="s">
        <v>46</v>
      </c>
      <c r="W177" s="5">
        <v>1</v>
      </c>
      <c r="X177" s="5" t="s">
        <v>38</v>
      </c>
      <c r="Y177" s="5">
        <v>40</v>
      </c>
      <c r="Z177" s="5">
        <v>9</v>
      </c>
      <c r="AA177" s="5" t="s">
        <v>812</v>
      </c>
      <c r="AB177" s="5" t="s">
        <v>813</v>
      </c>
      <c r="AC177" s="5" t="s">
        <v>814</v>
      </c>
      <c r="AD177" s="5"/>
      <c r="AF177" s="15" t="s">
        <v>780</v>
      </c>
      <c r="AG177" s="15" t="s">
        <v>810</v>
      </c>
      <c r="AH177">
        <f t="shared" si="116"/>
        <v>0</v>
      </c>
      <c r="AI177">
        <f t="shared" si="86"/>
        <v>98</v>
      </c>
      <c r="AJ177" s="12">
        <f t="shared" si="87"/>
        <v>98.4</v>
      </c>
      <c r="AK177">
        <f t="shared" si="88"/>
        <v>96</v>
      </c>
      <c r="AL177">
        <f t="shared" si="89"/>
        <v>30</v>
      </c>
      <c r="AM177">
        <f t="shared" si="90"/>
        <v>97</v>
      </c>
      <c r="AN177">
        <f t="shared" si="84"/>
        <v>96.000192000384004</v>
      </c>
      <c r="AO177">
        <f t="shared" si="91"/>
        <v>90</v>
      </c>
      <c r="AP177">
        <f t="shared" si="92"/>
        <v>66.190005760011516</v>
      </c>
      <c r="AQ177">
        <f t="shared" si="118"/>
        <v>8</v>
      </c>
      <c r="AR177" t="str">
        <f t="shared" si="93"/>
        <v>LABEL-006</v>
      </c>
      <c r="AS177" s="15" t="s">
        <v>780</v>
      </c>
      <c r="AT177" s="15" t="s">
        <v>810</v>
      </c>
      <c r="AU177">
        <f t="shared" si="117"/>
        <v>0</v>
      </c>
      <c r="AV177">
        <f t="shared" si="94"/>
        <v>30</v>
      </c>
      <c r="AW177">
        <f t="shared" si="95"/>
        <v>96</v>
      </c>
      <c r="AX177">
        <f t="shared" si="96"/>
        <v>98</v>
      </c>
      <c r="AY177">
        <f t="shared" si="85"/>
        <v>96.000192000384004</v>
      </c>
      <c r="AZ177">
        <f t="shared" si="97"/>
        <v>97</v>
      </c>
      <c r="BA177">
        <f t="shared" si="98"/>
        <v>51.050009600019209</v>
      </c>
      <c r="BB177">
        <f t="shared" si="119"/>
        <v>8</v>
      </c>
      <c r="BC177" t="str">
        <f t="shared" si="99"/>
        <v>LABEL-006</v>
      </c>
    </row>
    <row r="178" spans="2:55" ht="39.6" x14ac:dyDescent="0.3">
      <c r="B178" s="5" t="s">
        <v>731</v>
      </c>
      <c r="C178" s="15" t="s">
        <v>780</v>
      </c>
      <c r="D178" s="5" t="s">
        <v>815</v>
      </c>
      <c r="E178" s="5" t="s">
        <v>816</v>
      </c>
      <c r="F178" s="5" t="s">
        <v>33</v>
      </c>
      <c r="G178" s="5">
        <v>65</v>
      </c>
      <c r="H178" s="5">
        <v>1</v>
      </c>
      <c r="I178" s="5">
        <v>50000</v>
      </c>
      <c r="J178" s="5">
        <v>50000</v>
      </c>
      <c r="K178" s="5">
        <v>7</v>
      </c>
      <c r="L178" s="5">
        <v>3</v>
      </c>
      <c r="M178" s="5">
        <v>0.15</v>
      </c>
      <c r="N178" s="5">
        <v>97</v>
      </c>
      <c r="O178" s="5">
        <v>30</v>
      </c>
      <c r="P178" s="5" t="s">
        <v>817</v>
      </c>
      <c r="Q178" s="5">
        <v>8.8000000000000007</v>
      </c>
      <c r="R178" s="5">
        <v>9.3000000000000007</v>
      </c>
      <c r="S178" s="5" t="s">
        <v>67</v>
      </c>
      <c r="T178" s="5">
        <v>8.8000000000000007</v>
      </c>
      <c r="U178" s="5" t="s">
        <v>53</v>
      </c>
      <c r="V178" s="5" t="s">
        <v>37</v>
      </c>
      <c r="W178" s="5">
        <v>1</v>
      </c>
      <c r="X178" s="5" t="s">
        <v>38</v>
      </c>
      <c r="Y178" s="5">
        <v>18</v>
      </c>
      <c r="Z178" s="5">
        <v>9.3000000000000007</v>
      </c>
      <c r="AA178" s="5" t="s">
        <v>818</v>
      </c>
      <c r="AB178" s="5" t="s">
        <v>819</v>
      </c>
      <c r="AC178" s="5" t="s">
        <v>820</v>
      </c>
      <c r="AD178" s="5"/>
      <c r="AF178" s="15" t="s">
        <v>780</v>
      </c>
      <c r="AG178" s="15" t="s">
        <v>816</v>
      </c>
      <c r="AH178">
        <f t="shared" si="116"/>
        <v>66.666666666666671</v>
      </c>
      <c r="AI178">
        <f t="shared" si="86"/>
        <v>88</v>
      </c>
      <c r="AJ178" s="12">
        <f t="shared" si="87"/>
        <v>97</v>
      </c>
      <c r="AK178">
        <f t="shared" si="88"/>
        <v>97</v>
      </c>
      <c r="AL178">
        <f t="shared" si="89"/>
        <v>65</v>
      </c>
      <c r="AM178">
        <f t="shared" si="90"/>
        <v>87</v>
      </c>
      <c r="AN178">
        <f t="shared" si="84"/>
        <v>90.000180000360004</v>
      </c>
      <c r="AO178">
        <f t="shared" si="91"/>
        <v>93</v>
      </c>
      <c r="AP178">
        <f t="shared" si="92"/>
        <v>83.176672066677455</v>
      </c>
      <c r="AQ178">
        <f t="shared" si="118"/>
        <v>5</v>
      </c>
      <c r="AR178" t="str">
        <f t="shared" si="93"/>
        <v>LABEL-007</v>
      </c>
      <c r="AS178" s="15" t="s">
        <v>780</v>
      </c>
      <c r="AT178" s="15" t="s">
        <v>816</v>
      </c>
      <c r="AU178">
        <f t="shared" si="117"/>
        <v>66.666666666666671</v>
      </c>
      <c r="AV178">
        <f t="shared" si="94"/>
        <v>65</v>
      </c>
      <c r="AW178">
        <f t="shared" si="95"/>
        <v>97</v>
      </c>
      <c r="AX178">
        <f t="shared" si="96"/>
        <v>88</v>
      </c>
      <c r="AY178">
        <f t="shared" si="85"/>
        <v>90.000180000360004</v>
      </c>
      <c r="AZ178">
        <f t="shared" si="97"/>
        <v>87</v>
      </c>
      <c r="BA178">
        <f t="shared" si="98"/>
        <v>77.700009000017999</v>
      </c>
      <c r="BB178">
        <f t="shared" si="119"/>
        <v>5</v>
      </c>
      <c r="BC178" t="str">
        <f t="shared" si="99"/>
        <v>LABEL-007</v>
      </c>
    </row>
    <row r="179" spans="2:55" ht="39.6" x14ac:dyDescent="0.3">
      <c r="B179" s="5" t="s">
        <v>731</v>
      </c>
      <c r="C179" s="15" t="s">
        <v>780</v>
      </c>
      <c r="D179" s="5" t="s">
        <v>821</v>
      </c>
      <c r="E179" s="5" t="s">
        <v>822</v>
      </c>
      <c r="F179" s="5" t="s">
        <v>84</v>
      </c>
      <c r="G179" s="5">
        <v>150</v>
      </c>
      <c r="H179" s="5">
        <v>0.9</v>
      </c>
      <c r="I179" s="5">
        <v>100000</v>
      </c>
      <c r="J179" s="5">
        <v>90000</v>
      </c>
      <c r="K179" s="5">
        <v>5</v>
      </c>
      <c r="L179" s="5">
        <v>2</v>
      </c>
      <c r="M179" s="5">
        <v>0.2</v>
      </c>
      <c r="N179" s="5">
        <v>98</v>
      </c>
      <c r="O179" s="5">
        <v>45</v>
      </c>
      <c r="P179" s="5" t="s">
        <v>741</v>
      </c>
      <c r="Q179" s="5">
        <v>8.5</v>
      </c>
      <c r="R179" s="5">
        <v>9.4</v>
      </c>
      <c r="S179" s="5" t="s">
        <v>74</v>
      </c>
      <c r="T179" s="5">
        <v>8.5</v>
      </c>
      <c r="U179" s="5" t="s">
        <v>53</v>
      </c>
      <c r="V179" s="5" t="s">
        <v>46</v>
      </c>
      <c r="W179" s="5">
        <v>2</v>
      </c>
      <c r="X179" s="5" t="s">
        <v>38</v>
      </c>
      <c r="Y179" s="5">
        <v>22</v>
      </c>
      <c r="Z179" s="5">
        <v>9.4</v>
      </c>
      <c r="AA179" s="5" t="s">
        <v>823</v>
      </c>
      <c r="AB179" s="5" t="s">
        <v>824</v>
      </c>
      <c r="AC179" s="5" t="s">
        <v>825</v>
      </c>
      <c r="AD179" s="5"/>
      <c r="AF179" s="15" t="s">
        <v>780</v>
      </c>
      <c r="AG179" s="15" t="s">
        <v>822</v>
      </c>
      <c r="AH179">
        <f t="shared" si="116"/>
        <v>73.333333333333329</v>
      </c>
      <c r="AI179">
        <f t="shared" si="86"/>
        <v>85</v>
      </c>
      <c r="AJ179" s="12">
        <f t="shared" si="87"/>
        <v>96</v>
      </c>
      <c r="AK179">
        <f t="shared" si="88"/>
        <v>98</v>
      </c>
      <c r="AL179">
        <f t="shared" si="89"/>
        <v>75</v>
      </c>
      <c r="AM179">
        <f t="shared" si="90"/>
        <v>70</v>
      </c>
      <c r="AN179">
        <f t="shared" si="84"/>
        <v>80.000160000319994</v>
      </c>
      <c r="AO179">
        <f t="shared" si="91"/>
        <v>94</v>
      </c>
      <c r="AP179">
        <f t="shared" si="92"/>
        <v>83.963338133342916</v>
      </c>
      <c r="AQ179">
        <f t="shared" si="118"/>
        <v>3</v>
      </c>
      <c r="AR179" t="str">
        <f t="shared" si="93"/>
        <v>LABEL-008</v>
      </c>
      <c r="AS179" s="15" t="s">
        <v>780</v>
      </c>
      <c r="AT179" s="15" t="s">
        <v>822</v>
      </c>
      <c r="AU179">
        <f t="shared" si="117"/>
        <v>73.333333333333329</v>
      </c>
      <c r="AV179">
        <f t="shared" si="94"/>
        <v>75</v>
      </c>
      <c r="AW179">
        <f t="shared" si="95"/>
        <v>98</v>
      </c>
      <c r="AX179">
        <f t="shared" si="96"/>
        <v>85</v>
      </c>
      <c r="AY179">
        <f t="shared" si="85"/>
        <v>80.000160000319994</v>
      </c>
      <c r="AZ179">
        <f t="shared" si="97"/>
        <v>70</v>
      </c>
      <c r="BA179">
        <f t="shared" si="98"/>
        <v>80.60000800001599</v>
      </c>
      <c r="BB179">
        <f t="shared" si="119"/>
        <v>2</v>
      </c>
      <c r="BC179" t="str">
        <f t="shared" si="99"/>
        <v>LABEL-008</v>
      </c>
    </row>
    <row r="180" spans="2:55" ht="39.6" x14ac:dyDescent="0.3">
      <c r="B180" s="5" t="s">
        <v>731</v>
      </c>
      <c r="C180" s="15" t="s">
        <v>826</v>
      </c>
      <c r="D180" s="5" t="s">
        <v>827</v>
      </c>
      <c r="E180" s="5" t="s">
        <v>828</v>
      </c>
      <c r="F180" s="5" t="s">
        <v>524</v>
      </c>
      <c r="G180" s="5">
        <v>30</v>
      </c>
      <c r="H180" s="5">
        <v>1.5</v>
      </c>
      <c r="I180" s="5">
        <v>100000</v>
      </c>
      <c r="J180" s="5">
        <v>150000</v>
      </c>
      <c r="K180" s="5">
        <v>7</v>
      </c>
      <c r="L180" s="5">
        <v>3</v>
      </c>
      <c r="M180" s="5">
        <v>0.2</v>
      </c>
      <c r="N180" s="5">
        <v>98</v>
      </c>
      <c r="O180" s="5">
        <v>60</v>
      </c>
      <c r="P180" s="5" t="s">
        <v>799</v>
      </c>
      <c r="Q180" s="5">
        <v>8.5</v>
      </c>
      <c r="R180" s="5">
        <v>9.5</v>
      </c>
      <c r="S180" s="5" t="s">
        <v>67</v>
      </c>
      <c r="T180" s="5">
        <v>7.8</v>
      </c>
      <c r="U180" s="5" t="s">
        <v>53</v>
      </c>
      <c r="V180" s="5" t="s">
        <v>37</v>
      </c>
      <c r="W180" s="5">
        <v>2</v>
      </c>
      <c r="X180" s="5" t="s">
        <v>38</v>
      </c>
      <c r="Y180" s="5">
        <v>25</v>
      </c>
      <c r="Z180" s="5">
        <v>9</v>
      </c>
      <c r="AA180" s="5" t="s">
        <v>829</v>
      </c>
      <c r="AB180" s="5" t="s">
        <v>830</v>
      </c>
      <c r="AC180" s="5" t="s">
        <v>831</v>
      </c>
      <c r="AD180" s="5"/>
      <c r="AF180" s="15" t="s">
        <v>826</v>
      </c>
      <c r="AG180" s="15" t="s">
        <v>828</v>
      </c>
      <c r="AH180">
        <f t="shared" ref="AH180:AH187" si="120">100-((H180-MIN($H$180:$H$187))/(MAX($H$180:$H$187)-MIN($H$180:$H$187))*100)</f>
        <v>66.666666666666671</v>
      </c>
      <c r="AI180">
        <f t="shared" si="86"/>
        <v>85</v>
      </c>
      <c r="AJ180" s="12">
        <f t="shared" si="87"/>
        <v>96</v>
      </c>
      <c r="AK180">
        <f t="shared" si="88"/>
        <v>98</v>
      </c>
      <c r="AL180">
        <f t="shared" si="89"/>
        <v>65</v>
      </c>
      <c r="AM180">
        <f t="shared" si="90"/>
        <v>94</v>
      </c>
      <c r="AN180">
        <f t="shared" si="84"/>
        <v>80.000160000319994</v>
      </c>
      <c r="AO180">
        <f t="shared" si="91"/>
        <v>90</v>
      </c>
      <c r="AP180">
        <f t="shared" si="92"/>
        <v>82.416671466676263</v>
      </c>
      <c r="AQ180">
        <f>RANK(AP180, $AP$180:$AP$187, 0)</f>
        <v>1</v>
      </c>
      <c r="AR180" t="str">
        <f t="shared" si="93"/>
        <v>BAG-001</v>
      </c>
      <c r="AS180" s="15" t="s">
        <v>826</v>
      </c>
      <c r="AT180" s="15" t="s">
        <v>828</v>
      </c>
      <c r="AU180">
        <f t="shared" ref="AU180:AU187" si="121">100-((H180-MIN($H$180:$H$187))/(MAX($H$180:$H$187)-MIN($H$180:$H$187))*100)</f>
        <v>66.666666666666671</v>
      </c>
      <c r="AV180">
        <f t="shared" si="94"/>
        <v>65</v>
      </c>
      <c r="AW180">
        <f t="shared" si="95"/>
        <v>98</v>
      </c>
      <c r="AX180">
        <f t="shared" si="96"/>
        <v>85</v>
      </c>
      <c r="AY180">
        <f t="shared" si="85"/>
        <v>80.000160000319994</v>
      </c>
      <c r="AZ180">
        <f t="shared" si="97"/>
        <v>94</v>
      </c>
      <c r="BA180">
        <f t="shared" si="98"/>
        <v>77.300008000015993</v>
      </c>
      <c r="BB180">
        <f>RANK(BA180, $BA$180:$BA$187, 0)</f>
        <v>1</v>
      </c>
      <c r="BC180" t="str">
        <f t="shared" si="99"/>
        <v>BAG-001</v>
      </c>
    </row>
    <row r="181" spans="2:55" ht="39.6" x14ac:dyDescent="0.3">
      <c r="B181" s="5" t="s">
        <v>731</v>
      </c>
      <c r="C181" s="15" t="s">
        <v>826</v>
      </c>
      <c r="D181" s="5" t="s">
        <v>832</v>
      </c>
      <c r="E181" s="5" t="s">
        <v>833</v>
      </c>
      <c r="F181" s="5" t="s">
        <v>223</v>
      </c>
      <c r="G181" s="5">
        <v>40</v>
      </c>
      <c r="H181" s="5">
        <v>1.3</v>
      </c>
      <c r="I181" s="5">
        <v>200000</v>
      </c>
      <c r="J181" s="5">
        <v>260000</v>
      </c>
      <c r="K181" s="5">
        <v>10</v>
      </c>
      <c r="L181" s="5">
        <v>5</v>
      </c>
      <c r="M181" s="5">
        <v>0.3</v>
      </c>
      <c r="N181" s="5">
        <v>97</v>
      </c>
      <c r="O181" s="5">
        <v>45</v>
      </c>
      <c r="P181" s="5" t="s">
        <v>834</v>
      </c>
      <c r="Q181" s="5">
        <v>8</v>
      </c>
      <c r="R181" s="5">
        <v>9.1999999999999993</v>
      </c>
      <c r="S181" s="5" t="s">
        <v>74</v>
      </c>
      <c r="T181" s="5">
        <v>8.1999999999999993</v>
      </c>
      <c r="U181" s="5" t="s">
        <v>81</v>
      </c>
      <c r="V181" s="5" t="s">
        <v>46</v>
      </c>
      <c r="W181" s="5">
        <v>3</v>
      </c>
      <c r="X181" s="5" t="s">
        <v>38</v>
      </c>
      <c r="Y181" s="5">
        <v>30</v>
      </c>
      <c r="Z181" s="5">
        <v>8.8000000000000007</v>
      </c>
      <c r="AA181" s="5" t="s">
        <v>835</v>
      </c>
      <c r="AB181" s="5" t="s">
        <v>836</v>
      </c>
      <c r="AC181" s="5" t="s">
        <v>837</v>
      </c>
      <c r="AD181" s="5"/>
      <c r="AF181" s="15" t="s">
        <v>826</v>
      </c>
      <c r="AG181" s="15" t="s">
        <v>833</v>
      </c>
      <c r="AH181">
        <f t="shared" si="120"/>
        <v>80</v>
      </c>
      <c r="AI181">
        <f t="shared" si="86"/>
        <v>80</v>
      </c>
      <c r="AJ181" s="12">
        <f t="shared" si="87"/>
        <v>94</v>
      </c>
      <c r="AK181">
        <f t="shared" si="88"/>
        <v>97</v>
      </c>
      <c r="AL181">
        <f t="shared" si="89"/>
        <v>50</v>
      </c>
      <c r="AM181">
        <f t="shared" si="90"/>
        <v>92</v>
      </c>
      <c r="AN181">
        <f t="shared" si="84"/>
        <v>60.000120000239995</v>
      </c>
      <c r="AO181">
        <f t="shared" si="91"/>
        <v>88</v>
      </c>
      <c r="AP181">
        <f t="shared" si="92"/>
        <v>81.810003600007207</v>
      </c>
      <c r="AQ181">
        <f t="shared" ref="AQ181:AQ187" si="122">RANK(AP181, $AP$180:$AP$187, 0)</f>
        <v>2</v>
      </c>
      <c r="AR181" t="str">
        <f t="shared" si="93"/>
        <v>BAG-002</v>
      </c>
      <c r="AS181" s="15" t="s">
        <v>826</v>
      </c>
      <c r="AT181" s="15" t="s">
        <v>833</v>
      </c>
      <c r="AU181">
        <f t="shared" si="121"/>
        <v>80</v>
      </c>
      <c r="AV181">
        <f t="shared" si="94"/>
        <v>50</v>
      </c>
      <c r="AW181">
        <f t="shared" si="95"/>
        <v>97</v>
      </c>
      <c r="AX181">
        <f t="shared" si="96"/>
        <v>80</v>
      </c>
      <c r="AY181">
        <f t="shared" si="85"/>
        <v>60.000120000239995</v>
      </c>
      <c r="AZ181">
        <f t="shared" si="97"/>
        <v>92</v>
      </c>
      <c r="BA181">
        <f t="shared" si="98"/>
        <v>75.500006000012007</v>
      </c>
      <c r="BB181">
        <f t="shared" ref="BB181:BB187" si="123">RANK(BA181, $BA$180:$BA$187, 0)</f>
        <v>2</v>
      </c>
      <c r="BC181" t="str">
        <f t="shared" si="99"/>
        <v>BAG-002</v>
      </c>
    </row>
    <row r="182" spans="2:55" ht="39.6" x14ac:dyDescent="0.3">
      <c r="B182" s="5" t="s">
        <v>731</v>
      </c>
      <c r="C182" s="15" t="s">
        <v>826</v>
      </c>
      <c r="D182" s="5" t="s">
        <v>838</v>
      </c>
      <c r="E182" s="5" t="s">
        <v>839</v>
      </c>
      <c r="F182" s="5" t="s">
        <v>72</v>
      </c>
      <c r="G182" s="5">
        <v>15</v>
      </c>
      <c r="H182" s="5">
        <v>1.8</v>
      </c>
      <c r="I182" s="5">
        <v>50000</v>
      </c>
      <c r="J182" s="5">
        <v>90000</v>
      </c>
      <c r="K182" s="5">
        <v>5</v>
      </c>
      <c r="L182" s="5">
        <v>2</v>
      </c>
      <c r="M182" s="5">
        <v>0.1</v>
      </c>
      <c r="N182" s="5">
        <v>99</v>
      </c>
      <c r="O182" s="5">
        <v>30</v>
      </c>
      <c r="P182" s="5" t="s">
        <v>765</v>
      </c>
      <c r="Q182" s="5">
        <v>9</v>
      </c>
      <c r="R182" s="5">
        <v>9.8000000000000007</v>
      </c>
      <c r="S182" s="5" t="s">
        <v>404</v>
      </c>
      <c r="T182" s="5">
        <v>9</v>
      </c>
      <c r="U182" s="5" t="s">
        <v>36</v>
      </c>
      <c r="V182" s="5" t="s">
        <v>37</v>
      </c>
      <c r="W182" s="5">
        <v>1</v>
      </c>
      <c r="X182" s="5" t="s">
        <v>38</v>
      </c>
      <c r="Y182" s="5">
        <v>15</v>
      </c>
      <c r="Z182" s="5">
        <v>9.5</v>
      </c>
      <c r="AA182" s="5" t="s">
        <v>840</v>
      </c>
      <c r="AB182" s="5" t="s">
        <v>841</v>
      </c>
      <c r="AC182" s="5" t="s">
        <v>842</v>
      </c>
      <c r="AD182" s="5"/>
      <c r="AF182" s="15" t="s">
        <v>826</v>
      </c>
      <c r="AG182" s="15" t="s">
        <v>839</v>
      </c>
      <c r="AH182">
        <f t="shared" si="120"/>
        <v>46.666666666666664</v>
      </c>
      <c r="AI182">
        <f t="shared" si="86"/>
        <v>90</v>
      </c>
      <c r="AJ182" s="12">
        <f t="shared" si="87"/>
        <v>98</v>
      </c>
      <c r="AK182">
        <f t="shared" si="88"/>
        <v>99</v>
      </c>
      <c r="AL182">
        <f t="shared" si="89"/>
        <v>75</v>
      </c>
      <c r="AM182">
        <f t="shared" si="90"/>
        <v>97</v>
      </c>
      <c r="AN182">
        <f t="shared" si="84"/>
        <v>90.000180000360004</v>
      </c>
      <c r="AO182">
        <f t="shared" si="91"/>
        <v>95</v>
      </c>
      <c r="AP182">
        <f t="shared" si="92"/>
        <v>80.666672066677464</v>
      </c>
      <c r="AQ182">
        <f t="shared" si="122"/>
        <v>3</v>
      </c>
      <c r="AR182" t="str">
        <f t="shared" si="93"/>
        <v>BAG-003</v>
      </c>
      <c r="AS182" s="15" t="s">
        <v>826</v>
      </c>
      <c r="AT182" s="15" t="s">
        <v>839</v>
      </c>
      <c r="AU182">
        <f t="shared" si="121"/>
        <v>46.666666666666664</v>
      </c>
      <c r="AV182">
        <f t="shared" si="94"/>
        <v>75</v>
      </c>
      <c r="AW182">
        <f t="shared" si="95"/>
        <v>99</v>
      </c>
      <c r="AX182">
        <f t="shared" si="96"/>
        <v>90</v>
      </c>
      <c r="AY182">
        <f t="shared" si="85"/>
        <v>90.000180000360004</v>
      </c>
      <c r="AZ182">
        <f t="shared" si="97"/>
        <v>97</v>
      </c>
      <c r="BA182">
        <f t="shared" si="98"/>
        <v>75.400009000017988</v>
      </c>
      <c r="BB182">
        <f t="shared" si="123"/>
        <v>3</v>
      </c>
      <c r="BC182" t="str">
        <f t="shared" si="99"/>
        <v>BAG-003</v>
      </c>
    </row>
    <row r="183" spans="2:55" ht="39.6" x14ac:dyDescent="0.3">
      <c r="B183" s="5" t="s">
        <v>731</v>
      </c>
      <c r="C183" s="15" t="s">
        <v>826</v>
      </c>
      <c r="D183" s="5" t="s">
        <v>843</v>
      </c>
      <c r="E183" s="5" t="s">
        <v>844</v>
      </c>
      <c r="F183" s="5" t="s">
        <v>78</v>
      </c>
      <c r="G183" s="5">
        <v>1400</v>
      </c>
      <c r="H183" s="5">
        <v>1</v>
      </c>
      <c r="I183" s="5">
        <v>500000</v>
      </c>
      <c r="J183" s="5">
        <v>500000</v>
      </c>
      <c r="K183" s="5">
        <v>14</v>
      </c>
      <c r="L183" s="5">
        <v>7</v>
      </c>
      <c r="M183" s="5">
        <v>0.5</v>
      </c>
      <c r="N183" s="5">
        <v>88</v>
      </c>
      <c r="O183" s="5">
        <v>90</v>
      </c>
      <c r="P183" s="5" t="s">
        <v>845</v>
      </c>
      <c r="Q183" s="5">
        <v>7</v>
      </c>
      <c r="R183" s="5">
        <v>8</v>
      </c>
      <c r="S183" s="5" t="s">
        <v>54</v>
      </c>
      <c r="T183" s="5">
        <v>6</v>
      </c>
      <c r="U183" s="5" t="s">
        <v>174</v>
      </c>
      <c r="V183" s="5" t="s">
        <v>54</v>
      </c>
      <c r="W183" s="5">
        <v>3</v>
      </c>
      <c r="X183" s="5" t="s">
        <v>68</v>
      </c>
      <c r="Y183" s="5">
        <v>10</v>
      </c>
      <c r="Z183" s="5">
        <v>6.5</v>
      </c>
      <c r="AA183" s="5" t="s">
        <v>829</v>
      </c>
      <c r="AB183" s="5" t="s">
        <v>846</v>
      </c>
      <c r="AC183" s="5" t="s">
        <v>847</v>
      </c>
      <c r="AD183" s="5"/>
      <c r="AF183" s="15" t="s">
        <v>826</v>
      </c>
      <c r="AG183" s="15" t="s">
        <v>844</v>
      </c>
      <c r="AH183">
        <f t="shared" si="120"/>
        <v>100</v>
      </c>
      <c r="AI183">
        <f t="shared" si="86"/>
        <v>70</v>
      </c>
      <c r="AJ183" s="12">
        <f t="shared" si="87"/>
        <v>90</v>
      </c>
      <c r="AK183">
        <f t="shared" si="88"/>
        <v>88</v>
      </c>
      <c r="AL183">
        <f t="shared" si="89"/>
        <v>30</v>
      </c>
      <c r="AM183">
        <f t="shared" si="90"/>
        <v>0</v>
      </c>
      <c r="AN183">
        <f t="shared" si="84"/>
        <v>0</v>
      </c>
      <c r="AO183">
        <f t="shared" si="91"/>
        <v>65</v>
      </c>
      <c r="AP183">
        <f t="shared" si="92"/>
        <v>73.5</v>
      </c>
      <c r="AQ183">
        <f t="shared" si="122"/>
        <v>6</v>
      </c>
      <c r="AR183" t="str">
        <f t="shared" si="93"/>
        <v>BAG-004</v>
      </c>
      <c r="AS183" s="15" t="s">
        <v>826</v>
      </c>
      <c r="AT183" s="15" t="s">
        <v>844</v>
      </c>
      <c r="AU183">
        <f t="shared" si="121"/>
        <v>100</v>
      </c>
      <c r="AV183">
        <f t="shared" si="94"/>
        <v>30</v>
      </c>
      <c r="AW183">
        <f t="shared" si="95"/>
        <v>88</v>
      </c>
      <c r="AX183">
        <f t="shared" si="96"/>
        <v>70</v>
      </c>
      <c r="AY183">
        <f t="shared" si="85"/>
        <v>0</v>
      </c>
      <c r="AZ183">
        <f t="shared" si="97"/>
        <v>0</v>
      </c>
      <c r="BA183">
        <f t="shared" si="98"/>
        <v>65.599999999999994</v>
      </c>
      <c r="BB183">
        <f t="shared" si="123"/>
        <v>6</v>
      </c>
      <c r="BC183" t="str">
        <f t="shared" si="99"/>
        <v>BAG-004</v>
      </c>
    </row>
    <row r="184" spans="2:55" ht="39.6" x14ac:dyDescent="0.3">
      <c r="B184" s="5" t="s">
        <v>731</v>
      </c>
      <c r="C184" s="15" t="s">
        <v>826</v>
      </c>
      <c r="D184" s="5" t="s">
        <v>848</v>
      </c>
      <c r="E184" s="5" t="s">
        <v>849</v>
      </c>
      <c r="F184" s="5" t="s">
        <v>84</v>
      </c>
      <c r="G184" s="5">
        <v>150</v>
      </c>
      <c r="H184" s="5">
        <v>2</v>
      </c>
      <c r="I184" s="5">
        <v>30000</v>
      </c>
      <c r="J184" s="5">
        <v>60000</v>
      </c>
      <c r="K184" s="5">
        <v>7</v>
      </c>
      <c r="L184" s="5">
        <v>3</v>
      </c>
      <c r="M184" s="5">
        <v>0.15</v>
      </c>
      <c r="N184" s="5">
        <v>96</v>
      </c>
      <c r="O184" s="5">
        <v>45</v>
      </c>
      <c r="P184" s="5" t="s">
        <v>804</v>
      </c>
      <c r="Q184" s="5">
        <v>9.1999999999999993</v>
      </c>
      <c r="R184" s="5">
        <v>9</v>
      </c>
      <c r="S184" s="5" t="s">
        <v>206</v>
      </c>
      <c r="T184" s="5">
        <v>9.1999999999999993</v>
      </c>
      <c r="U184" s="5" t="s">
        <v>36</v>
      </c>
      <c r="V184" s="5" t="s">
        <v>46</v>
      </c>
      <c r="W184" s="5">
        <v>2</v>
      </c>
      <c r="X184" s="5" t="s">
        <v>38</v>
      </c>
      <c r="Y184" s="5">
        <v>20</v>
      </c>
      <c r="Z184" s="5">
        <v>9</v>
      </c>
      <c r="AA184" s="5" t="s">
        <v>850</v>
      </c>
      <c r="AB184" s="5" t="s">
        <v>768</v>
      </c>
      <c r="AC184" s="5" t="s">
        <v>851</v>
      </c>
      <c r="AD184" s="5"/>
      <c r="AF184" s="15" t="s">
        <v>826</v>
      </c>
      <c r="AG184" s="15" t="s">
        <v>849</v>
      </c>
      <c r="AH184">
        <f t="shared" si="120"/>
        <v>33.333333333333343</v>
      </c>
      <c r="AI184">
        <f t="shared" si="86"/>
        <v>92</v>
      </c>
      <c r="AJ184" s="12">
        <f t="shared" si="87"/>
        <v>97</v>
      </c>
      <c r="AK184">
        <f t="shared" si="88"/>
        <v>96</v>
      </c>
      <c r="AL184">
        <f t="shared" si="89"/>
        <v>65</v>
      </c>
      <c r="AM184">
        <f t="shared" si="90"/>
        <v>70</v>
      </c>
      <c r="AN184">
        <f t="shared" si="84"/>
        <v>94.000188000375999</v>
      </c>
      <c r="AO184">
        <f t="shared" si="91"/>
        <v>90</v>
      </c>
      <c r="AP184">
        <f t="shared" si="92"/>
        <v>74.903338973344603</v>
      </c>
      <c r="AQ184">
        <f t="shared" si="122"/>
        <v>5</v>
      </c>
      <c r="AR184" t="str">
        <f t="shared" si="93"/>
        <v>BAG-005</v>
      </c>
      <c r="AS184" s="15" t="s">
        <v>826</v>
      </c>
      <c r="AT184" s="15" t="s">
        <v>849</v>
      </c>
      <c r="AU184">
        <f t="shared" si="121"/>
        <v>33.333333333333343</v>
      </c>
      <c r="AV184">
        <f t="shared" si="94"/>
        <v>65</v>
      </c>
      <c r="AW184">
        <f t="shared" si="95"/>
        <v>96</v>
      </c>
      <c r="AX184">
        <f t="shared" si="96"/>
        <v>92</v>
      </c>
      <c r="AY184">
        <f t="shared" si="85"/>
        <v>94.000188000375999</v>
      </c>
      <c r="AZ184">
        <f t="shared" si="97"/>
        <v>70</v>
      </c>
      <c r="BA184">
        <f t="shared" si="98"/>
        <v>67.4500094000188</v>
      </c>
      <c r="BB184">
        <f t="shared" si="123"/>
        <v>5</v>
      </c>
      <c r="BC184" t="str">
        <f t="shared" si="99"/>
        <v>BAG-005</v>
      </c>
    </row>
    <row r="185" spans="2:55" ht="39.6" x14ac:dyDescent="0.3">
      <c r="B185" s="5" t="s">
        <v>731</v>
      </c>
      <c r="C185" s="15" t="s">
        <v>826</v>
      </c>
      <c r="D185" s="5" t="s">
        <v>852</v>
      </c>
      <c r="E185" s="5" t="s">
        <v>853</v>
      </c>
      <c r="F185" s="5" t="s">
        <v>33</v>
      </c>
      <c r="G185" s="5">
        <v>65</v>
      </c>
      <c r="H185" s="5">
        <v>2.2000000000000002</v>
      </c>
      <c r="I185" s="5">
        <v>80000</v>
      </c>
      <c r="J185" s="5">
        <v>176000</v>
      </c>
      <c r="K185" s="5">
        <v>10</v>
      </c>
      <c r="L185" s="5">
        <v>5</v>
      </c>
      <c r="M185" s="5">
        <v>0.25</v>
      </c>
      <c r="N185" s="5">
        <v>95</v>
      </c>
      <c r="O185" s="5">
        <v>60</v>
      </c>
      <c r="P185" s="5" t="s">
        <v>817</v>
      </c>
      <c r="Q185" s="5">
        <v>8.8000000000000007</v>
      </c>
      <c r="R185" s="5">
        <v>9.3000000000000007</v>
      </c>
      <c r="S185" s="5" t="s">
        <v>67</v>
      </c>
      <c r="T185" s="5">
        <v>8.5</v>
      </c>
      <c r="U185" s="5" t="s">
        <v>53</v>
      </c>
      <c r="V185" s="5" t="s">
        <v>37</v>
      </c>
      <c r="W185" s="5">
        <v>2</v>
      </c>
      <c r="X185" s="5" t="s">
        <v>38</v>
      </c>
      <c r="Y185" s="5">
        <v>28</v>
      </c>
      <c r="Z185" s="5">
        <v>9.3000000000000007</v>
      </c>
      <c r="AA185" s="5" t="s">
        <v>854</v>
      </c>
      <c r="AB185" s="5" t="s">
        <v>855</v>
      </c>
      <c r="AC185" s="5" t="s">
        <v>856</v>
      </c>
      <c r="AD185" s="5"/>
      <c r="AF185" s="15" t="s">
        <v>826</v>
      </c>
      <c r="AG185" s="15" t="s">
        <v>853</v>
      </c>
      <c r="AH185">
        <f t="shared" si="120"/>
        <v>19.999999999999986</v>
      </c>
      <c r="AI185">
        <f t="shared" si="86"/>
        <v>88</v>
      </c>
      <c r="AJ185" s="12">
        <f t="shared" si="87"/>
        <v>95</v>
      </c>
      <c r="AK185">
        <f t="shared" si="88"/>
        <v>95</v>
      </c>
      <c r="AL185">
        <f t="shared" si="89"/>
        <v>50</v>
      </c>
      <c r="AM185">
        <f t="shared" si="90"/>
        <v>87</v>
      </c>
      <c r="AN185">
        <f t="shared" si="84"/>
        <v>84.000168000336004</v>
      </c>
      <c r="AO185">
        <f t="shared" si="91"/>
        <v>93</v>
      </c>
      <c r="AP185">
        <f t="shared" si="92"/>
        <v>69.23000504001007</v>
      </c>
      <c r="AQ185">
        <f t="shared" si="122"/>
        <v>7</v>
      </c>
      <c r="AR185" t="str">
        <f t="shared" si="93"/>
        <v>BAG-006</v>
      </c>
      <c r="AS185" s="15" t="s">
        <v>826</v>
      </c>
      <c r="AT185" s="15" t="s">
        <v>853</v>
      </c>
      <c r="AU185">
        <f t="shared" si="121"/>
        <v>19.999999999999986</v>
      </c>
      <c r="AV185">
        <f t="shared" si="94"/>
        <v>50</v>
      </c>
      <c r="AW185">
        <f t="shared" si="95"/>
        <v>95</v>
      </c>
      <c r="AX185">
        <f t="shared" si="96"/>
        <v>88</v>
      </c>
      <c r="AY185">
        <f t="shared" si="85"/>
        <v>84.000168000336004</v>
      </c>
      <c r="AZ185">
        <f t="shared" si="97"/>
        <v>87</v>
      </c>
      <c r="BA185">
        <f t="shared" si="98"/>
        <v>59.250008400016803</v>
      </c>
      <c r="BB185">
        <f t="shared" si="123"/>
        <v>7</v>
      </c>
      <c r="BC185" t="str">
        <f t="shared" si="99"/>
        <v>BAG-006</v>
      </c>
    </row>
    <row r="186" spans="2:55" ht="39.6" x14ac:dyDescent="0.3">
      <c r="B186" s="5" t="s">
        <v>731</v>
      </c>
      <c r="C186" s="15" t="s">
        <v>826</v>
      </c>
      <c r="D186" s="5" t="s">
        <v>857</v>
      </c>
      <c r="E186" s="5" t="s">
        <v>858</v>
      </c>
      <c r="F186" s="5" t="s">
        <v>59</v>
      </c>
      <c r="G186" s="5">
        <v>200</v>
      </c>
      <c r="H186" s="5">
        <v>2.5</v>
      </c>
      <c r="I186" s="5">
        <v>40000</v>
      </c>
      <c r="J186" s="5">
        <v>100000</v>
      </c>
      <c r="K186" s="5">
        <v>14</v>
      </c>
      <c r="L186" s="5">
        <v>7</v>
      </c>
      <c r="M186" s="5">
        <v>0.1</v>
      </c>
      <c r="N186" s="5">
        <v>94</v>
      </c>
      <c r="O186" s="5">
        <v>45</v>
      </c>
      <c r="P186" s="5" t="s">
        <v>747</v>
      </c>
      <c r="Q186" s="5">
        <v>9.5</v>
      </c>
      <c r="R186" s="5">
        <v>8.8000000000000007</v>
      </c>
      <c r="S186" s="5" t="s">
        <v>760</v>
      </c>
      <c r="T186" s="5">
        <v>9.8000000000000007</v>
      </c>
      <c r="U186" s="5" t="s">
        <v>53</v>
      </c>
      <c r="V186" s="5" t="s">
        <v>54</v>
      </c>
      <c r="W186" s="5">
        <v>1</v>
      </c>
      <c r="X186" s="5" t="s">
        <v>38</v>
      </c>
      <c r="Y186" s="5">
        <v>35</v>
      </c>
      <c r="Z186" s="5">
        <v>9</v>
      </c>
      <c r="AA186" s="5" t="s">
        <v>761</v>
      </c>
      <c r="AB186" s="5" t="s">
        <v>762</v>
      </c>
      <c r="AC186" s="5" t="s">
        <v>830</v>
      </c>
      <c r="AD186" s="5"/>
      <c r="AF186" s="15" t="s">
        <v>826</v>
      </c>
      <c r="AG186" s="15" t="s">
        <v>858</v>
      </c>
      <c r="AH186">
        <f t="shared" si="120"/>
        <v>0</v>
      </c>
      <c r="AI186">
        <f t="shared" si="86"/>
        <v>95</v>
      </c>
      <c r="AJ186" s="12">
        <f t="shared" si="87"/>
        <v>98</v>
      </c>
      <c r="AK186">
        <f t="shared" si="88"/>
        <v>94</v>
      </c>
      <c r="AL186">
        <f t="shared" si="89"/>
        <v>30</v>
      </c>
      <c r="AM186">
        <f t="shared" si="90"/>
        <v>60</v>
      </c>
      <c r="AN186">
        <f t="shared" si="84"/>
        <v>92.000184000367994</v>
      </c>
      <c r="AO186">
        <f t="shared" si="91"/>
        <v>90</v>
      </c>
      <c r="AP186">
        <f t="shared" si="92"/>
        <v>63.110005520011043</v>
      </c>
      <c r="AQ186">
        <f t="shared" si="122"/>
        <v>8</v>
      </c>
      <c r="AR186" t="str">
        <f t="shared" si="93"/>
        <v>BAG-007</v>
      </c>
      <c r="AS186" s="15" t="s">
        <v>826</v>
      </c>
      <c r="AT186" s="15" t="s">
        <v>858</v>
      </c>
      <c r="AU186">
        <f t="shared" si="121"/>
        <v>0</v>
      </c>
      <c r="AV186">
        <f t="shared" si="94"/>
        <v>30</v>
      </c>
      <c r="AW186">
        <f t="shared" si="95"/>
        <v>94</v>
      </c>
      <c r="AX186">
        <f t="shared" si="96"/>
        <v>95</v>
      </c>
      <c r="AY186">
        <f t="shared" si="85"/>
        <v>92.000184000367994</v>
      </c>
      <c r="AZ186">
        <f t="shared" si="97"/>
        <v>60</v>
      </c>
      <c r="BA186">
        <f t="shared" si="98"/>
        <v>48.150009200018395</v>
      </c>
      <c r="BB186">
        <f t="shared" si="123"/>
        <v>8</v>
      </c>
      <c r="BC186" t="str">
        <f t="shared" si="99"/>
        <v>BAG-007</v>
      </c>
    </row>
    <row r="187" spans="2:55" ht="39.6" x14ac:dyDescent="0.3">
      <c r="B187" s="5" t="s">
        <v>731</v>
      </c>
      <c r="C187" s="15" t="s">
        <v>826</v>
      </c>
      <c r="D187" s="5" t="s">
        <v>859</v>
      </c>
      <c r="E187" s="5" t="s">
        <v>860</v>
      </c>
      <c r="F187" s="5" t="s">
        <v>72</v>
      </c>
      <c r="G187" s="5">
        <v>20</v>
      </c>
      <c r="H187" s="5">
        <v>1.6</v>
      </c>
      <c r="I187" s="5">
        <v>100000</v>
      </c>
      <c r="J187" s="5">
        <v>160000</v>
      </c>
      <c r="K187" s="5">
        <v>10</v>
      </c>
      <c r="L187" s="5">
        <v>5</v>
      </c>
      <c r="M187" s="5">
        <v>0.3</v>
      </c>
      <c r="N187" s="5">
        <v>97</v>
      </c>
      <c r="O187" s="5">
        <v>30</v>
      </c>
      <c r="P187" s="5" t="s">
        <v>741</v>
      </c>
      <c r="Q187" s="5">
        <v>8.3000000000000007</v>
      </c>
      <c r="R187" s="5">
        <v>9.4</v>
      </c>
      <c r="S187" s="5" t="s">
        <v>67</v>
      </c>
      <c r="T187" s="5">
        <v>8.3000000000000007</v>
      </c>
      <c r="U187" s="5" t="s">
        <v>53</v>
      </c>
      <c r="V187" s="5" t="s">
        <v>54</v>
      </c>
      <c r="W187" s="5">
        <v>1</v>
      </c>
      <c r="X187" s="5" t="s">
        <v>38</v>
      </c>
      <c r="Y187" s="5">
        <v>22</v>
      </c>
      <c r="Z187" s="5">
        <v>9.4</v>
      </c>
      <c r="AA187" s="5" t="s">
        <v>861</v>
      </c>
      <c r="AB187" s="5" t="s">
        <v>862</v>
      </c>
      <c r="AC187" s="5" t="s">
        <v>863</v>
      </c>
      <c r="AD187" s="5"/>
      <c r="AF187" s="15" t="s">
        <v>826</v>
      </c>
      <c r="AG187" s="15" t="s">
        <v>860</v>
      </c>
      <c r="AH187">
        <f t="shared" si="120"/>
        <v>59.999999999999993</v>
      </c>
      <c r="AI187">
        <f t="shared" si="86"/>
        <v>83</v>
      </c>
      <c r="AJ187" s="12">
        <f t="shared" si="87"/>
        <v>94</v>
      </c>
      <c r="AK187">
        <f t="shared" si="88"/>
        <v>97</v>
      </c>
      <c r="AL187">
        <f t="shared" si="89"/>
        <v>50</v>
      </c>
      <c r="AM187">
        <f t="shared" si="90"/>
        <v>96</v>
      </c>
      <c r="AN187">
        <f t="shared" si="84"/>
        <v>80.000160000319994</v>
      </c>
      <c r="AO187">
        <f t="shared" si="91"/>
        <v>94</v>
      </c>
      <c r="AP187">
        <f t="shared" si="92"/>
        <v>78.480004800009596</v>
      </c>
      <c r="AQ187">
        <f t="shared" si="122"/>
        <v>4</v>
      </c>
      <c r="AR187" t="str">
        <f t="shared" si="93"/>
        <v>BAG-008</v>
      </c>
      <c r="AS187" s="15" t="s">
        <v>826</v>
      </c>
      <c r="AT187" s="15" t="s">
        <v>860</v>
      </c>
      <c r="AU187">
        <f t="shared" si="121"/>
        <v>59.999999999999993</v>
      </c>
      <c r="AV187">
        <f t="shared" si="94"/>
        <v>50</v>
      </c>
      <c r="AW187">
        <f t="shared" si="95"/>
        <v>97</v>
      </c>
      <c r="AX187">
        <f t="shared" si="96"/>
        <v>83</v>
      </c>
      <c r="AY187">
        <f t="shared" si="85"/>
        <v>80.000160000319994</v>
      </c>
      <c r="AZ187">
        <f t="shared" si="97"/>
        <v>96</v>
      </c>
      <c r="BA187">
        <f t="shared" si="98"/>
        <v>71.150008000015987</v>
      </c>
      <c r="BB187">
        <f t="shared" si="123"/>
        <v>4</v>
      </c>
      <c r="BC187" t="str">
        <f t="shared" si="99"/>
        <v>BAG-008</v>
      </c>
    </row>
    <row r="188" spans="2:55" ht="39.6" x14ac:dyDescent="0.3">
      <c r="B188" s="5" t="s">
        <v>731</v>
      </c>
      <c r="C188" s="15" t="s">
        <v>864</v>
      </c>
      <c r="D188" s="5" t="s">
        <v>865</v>
      </c>
      <c r="E188" s="5" t="s">
        <v>866</v>
      </c>
      <c r="F188" s="5" t="s">
        <v>72</v>
      </c>
      <c r="G188" s="5">
        <v>20</v>
      </c>
      <c r="H188" s="5">
        <v>0.5</v>
      </c>
      <c r="I188" s="5">
        <v>100000</v>
      </c>
      <c r="J188" s="5">
        <v>50000</v>
      </c>
      <c r="K188" s="5">
        <v>5</v>
      </c>
      <c r="L188" s="5">
        <v>2</v>
      </c>
      <c r="M188" s="5">
        <v>0.1</v>
      </c>
      <c r="N188" s="5">
        <v>99</v>
      </c>
      <c r="O188" s="5">
        <v>45</v>
      </c>
      <c r="P188" s="5" t="s">
        <v>845</v>
      </c>
      <c r="Q188" s="5">
        <v>9</v>
      </c>
      <c r="R188" s="5">
        <v>9.9</v>
      </c>
      <c r="S188" s="5" t="s">
        <v>67</v>
      </c>
      <c r="T188" s="5">
        <v>8.5</v>
      </c>
      <c r="U188" s="5" t="s">
        <v>36</v>
      </c>
      <c r="V188" s="5" t="s">
        <v>37</v>
      </c>
      <c r="W188" s="5">
        <v>1</v>
      </c>
      <c r="X188" s="5" t="s">
        <v>38</v>
      </c>
      <c r="Y188" s="5">
        <v>20</v>
      </c>
      <c r="Z188" s="5">
        <v>9.8000000000000007</v>
      </c>
      <c r="AA188" s="5" t="s">
        <v>867</v>
      </c>
      <c r="AB188" s="5" t="s">
        <v>47</v>
      </c>
      <c r="AC188" s="5" t="s">
        <v>868</v>
      </c>
      <c r="AD188" s="5"/>
      <c r="AF188" s="15" t="s">
        <v>864</v>
      </c>
      <c r="AG188" s="15" t="s">
        <v>866</v>
      </c>
      <c r="AH188">
        <f t="shared" ref="AH188:AH195" si="124">100-((H188-MIN($H$188:$H$195))/(MAX($H$188:$H$195)-MIN($H$188:$H$195))*100)</f>
        <v>60</v>
      </c>
      <c r="AI188">
        <f t="shared" si="86"/>
        <v>90</v>
      </c>
      <c r="AJ188" s="12">
        <f t="shared" si="87"/>
        <v>98</v>
      </c>
      <c r="AK188">
        <f t="shared" si="88"/>
        <v>99</v>
      </c>
      <c r="AL188">
        <f t="shared" si="89"/>
        <v>75</v>
      </c>
      <c r="AM188">
        <f t="shared" si="90"/>
        <v>96</v>
      </c>
      <c r="AN188">
        <f t="shared" si="84"/>
        <v>80.000160000319994</v>
      </c>
      <c r="AO188">
        <f t="shared" si="91"/>
        <v>98</v>
      </c>
      <c r="AP188">
        <f t="shared" si="92"/>
        <v>83.710004800009585</v>
      </c>
      <c r="AQ188">
        <f>RANK(AP188, $AP$188:$AP$195, 0)</f>
        <v>2</v>
      </c>
      <c r="AR188" t="str">
        <f t="shared" si="93"/>
        <v>CLIP-001</v>
      </c>
      <c r="AS188" s="15" t="s">
        <v>864</v>
      </c>
      <c r="AT188" s="15" t="s">
        <v>866</v>
      </c>
      <c r="AU188">
        <f t="shared" ref="AU188:AU195" si="125">100-((H188-MIN($H$188:$H$195))/(MAX($H$188:$H$195)-MIN($H$188:$H$195))*100)</f>
        <v>60</v>
      </c>
      <c r="AV188">
        <f t="shared" si="94"/>
        <v>75</v>
      </c>
      <c r="AW188">
        <f t="shared" si="95"/>
        <v>99</v>
      </c>
      <c r="AX188">
        <f t="shared" si="96"/>
        <v>90</v>
      </c>
      <c r="AY188">
        <f t="shared" si="85"/>
        <v>80.000160000319994</v>
      </c>
      <c r="AZ188">
        <f t="shared" si="97"/>
        <v>96</v>
      </c>
      <c r="BA188">
        <f t="shared" si="98"/>
        <v>78.85000800001599</v>
      </c>
      <c r="BB188">
        <f>RANK(BA188, $BA$188:$BA$195, 0)</f>
        <v>2</v>
      </c>
      <c r="BC188" t="str">
        <f t="shared" si="99"/>
        <v>CLIP-001</v>
      </c>
    </row>
    <row r="189" spans="2:55" ht="39.6" x14ac:dyDescent="0.3">
      <c r="B189" s="5" t="s">
        <v>731</v>
      </c>
      <c r="C189" s="15" t="s">
        <v>864</v>
      </c>
      <c r="D189" s="5" t="s">
        <v>869</v>
      </c>
      <c r="E189" s="5" t="s">
        <v>870</v>
      </c>
      <c r="F189" s="5" t="s">
        <v>524</v>
      </c>
      <c r="G189" s="5">
        <v>30</v>
      </c>
      <c r="H189" s="5">
        <v>0.4</v>
      </c>
      <c r="I189" s="5">
        <v>200000</v>
      </c>
      <c r="J189" s="5">
        <v>80000</v>
      </c>
      <c r="K189" s="5">
        <v>7</v>
      </c>
      <c r="L189" s="5">
        <v>3</v>
      </c>
      <c r="M189" s="5">
        <v>0.2</v>
      </c>
      <c r="N189" s="5">
        <v>98</v>
      </c>
      <c r="O189" s="5">
        <v>60</v>
      </c>
      <c r="P189" s="5" t="s">
        <v>871</v>
      </c>
      <c r="Q189" s="5">
        <v>8.5</v>
      </c>
      <c r="R189" s="5">
        <v>9.6999999999999993</v>
      </c>
      <c r="S189" s="5" t="s">
        <v>52</v>
      </c>
      <c r="T189" s="5">
        <v>8</v>
      </c>
      <c r="U189" s="5" t="s">
        <v>53</v>
      </c>
      <c r="V189" s="5" t="s">
        <v>46</v>
      </c>
      <c r="W189" s="5">
        <v>2</v>
      </c>
      <c r="X189" s="5" t="s">
        <v>38</v>
      </c>
      <c r="Y189" s="5">
        <v>30</v>
      </c>
      <c r="Z189" s="5">
        <v>9.5</v>
      </c>
      <c r="AA189" s="5" t="s">
        <v>872</v>
      </c>
      <c r="AB189" s="5" t="s">
        <v>873</v>
      </c>
      <c r="AC189" s="5" t="s">
        <v>874</v>
      </c>
      <c r="AD189" s="5"/>
      <c r="AF189" s="15" t="s">
        <v>864</v>
      </c>
      <c r="AG189" s="15" t="s">
        <v>870</v>
      </c>
      <c r="AH189">
        <f t="shared" si="124"/>
        <v>80</v>
      </c>
      <c r="AI189">
        <f t="shared" si="86"/>
        <v>85</v>
      </c>
      <c r="AJ189" s="12">
        <f t="shared" si="87"/>
        <v>96</v>
      </c>
      <c r="AK189">
        <f t="shared" si="88"/>
        <v>98</v>
      </c>
      <c r="AL189">
        <f t="shared" si="89"/>
        <v>65</v>
      </c>
      <c r="AM189">
        <f t="shared" si="90"/>
        <v>94</v>
      </c>
      <c r="AN189">
        <f t="shared" si="84"/>
        <v>60.000120000239995</v>
      </c>
      <c r="AO189">
        <f t="shared" si="91"/>
        <v>95</v>
      </c>
      <c r="AP189">
        <f t="shared" si="92"/>
        <v>85.250003600007204</v>
      </c>
      <c r="AQ189">
        <f t="shared" ref="AQ189:AQ195" si="126">RANK(AP189, $AP$188:$AP$195, 0)</f>
        <v>1</v>
      </c>
      <c r="AR189" t="str">
        <f t="shared" si="93"/>
        <v>CLIP-002</v>
      </c>
      <c r="AS189" s="15" t="s">
        <v>864</v>
      </c>
      <c r="AT189" s="15" t="s">
        <v>870</v>
      </c>
      <c r="AU189">
        <f t="shared" si="125"/>
        <v>80</v>
      </c>
      <c r="AV189">
        <f t="shared" si="94"/>
        <v>65</v>
      </c>
      <c r="AW189">
        <f t="shared" si="95"/>
        <v>98</v>
      </c>
      <c r="AX189">
        <f t="shared" si="96"/>
        <v>85</v>
      </c>
      <c r="AY189">
        <f t="shared" si="85"/>
        <v>60.000120000239995</v>
      </c>
      <c r="AZ189">
        <f t="shared" si="97"/>
        <v>94</v>
      </c>
      <c r="BA189">
        <f t="shared" si="98"/>
        <v>80.300006000012004</v>
      </c>
      <c r="BB189">
        <f t="shared" ref="BB189:BB195" si="127">RANK(BA189, $BA$188:$BA$195, 0)</f>
        <v>1</v>
      </c>
      <c r="BC189" t="str">
        <f t="shared" si="99"/>
        <v>CLIP-002</v>
      </c>
    </row>
    <row r="190" spans="2:55" ht="39.6" x14ac:dyDescent="0.3">
      <c r="B190" s="5" t="s">
        <v>731</v>
      </c>
      <c r="C190" s="15" t="s">
        <v>864</v>
      </c>
      <c r="D190" s="5" t="s">
        <v>875</v>
      </c>
      <c r="E190" s="5" t="s">
        <v>876</v>
      </c>
      <c r="F190" s="5" t="s">
        <v>223</v>
      </c>
      <c r="G190" s="5">
        <v>40</v>
      </c>
      <c r="H190" s="5">
        <v>0.6</v>
      </c>
      <c r="I190" s="5">
        <v>50000</v>
      </c>
      <c r="J190" s="5">
        <v>30000</v>
      </c>
      <c r="K190" s="5">
        <v>3</v>
      </c>
      <c r="L190" s="5">
        <v>1</v>
      </c>
      <c r="M190" s="5">
        <v>0.05</v>
      </c>
      <c r="N190" s="5">
        <v>99</v>
      </c>
      <c r="O190" s="5">
        <v>30</v>
      </c>
      <c r="P190" s="5" t="s">
        <v>799</v>
      </c>
      <c r="Q190" s="5">
        <v>9.5</v>
      </c>
      <c r="R190" s="5">
        <v>9.9</v>
      </c>
      <c r="S190" s="5" t="s">
        <v>404</v>
      </c>
      <c r="T190" s="5">
        <v>9.1999999999999993</v>
      </c>
      <c r="U190" s="5" t="s">
        <v>36</v>
      </c>
      <c r="V190" s="5" t="s">
        <v>37</v>
      </c>
      <c r="W190" s="5">
        <v>1</v>
      </c>
      <c r="X190" s="5" t="s">
        <v>38</v>
      </c>
      <c r="Y190" s="5">
        <v>15</v>
      </c>
      <c r="Z190" s="5">
        <v>9.9</v>
      </c>
      <c r="AA190" s="5" t="s">
        <v>877</v>
      </c>
      <c r="AB190" s="5" t="s">
        <v>851</v>
      </c>
      <c r="AC190" s="5" t="s">
        <v>847</v>
      </c>
      <c r="AD190" s="5"/>
      <c r="AF190" s="15" t="s">
        <v>864</v>
      </c>
      <c r="AG190" s="15" t="s">
        <v>876</v>
      </c>
      <c r="AH190">
        <f t="shared" si="124"/>
        <v>40</v>
      </c>
      <c r="AI190">
        <f t="shared" si="86"/>
        <v>95</v>
      </c>
      <c r="AJ190" s="12">
        <f t="shared" si="87"/>
        <v>99</v>
      </c>
      <c r="AK190">
        <f t="shared" si="88"/>
        <v>99</v>
      </c>
      <c r="AL190">
        <f t="shared" si="89"/>
        <v>85</v>
      </c>
      <c r="AM190">
        <f t="shared" si="90"/>
        <v>92</v>
      </c>
      <c r="AN190">
        <f t="shared" si="84"/>
        <v>90.000180000360004</v>
      </c>
      <c r="AO190">
        <f t="shared" si="91"/>
        <v>99</v>
      </c>
      <c r="AP190">
        <f t="shared" si="92"/>
        <v>81.230005400010796</v>
      </c>
      <c r="AQ190">
        <f t="shared" si="126"/>
        <v>3</v>
      </c>
      <c r="AR190" t="str">
        <f t="shared" si="93"/>
        <v>CLIP-003</v>
      </c>
      <c r="AS190" s="15" t="s">
        <v>864</v>
      </c>
      <c r="AT190" s="15" t="s">
        <v>876</v>
      </c>
      <c r="AU190">
        <f t="shared" si="125"/>
        <v>40</v>
      </c>
      <c r="AV190">
        <f t="shared" si="94"/>
        <v>85</v>
      </c>
      <c r="AW190">
        <f t="shared" si="95"/>
        <v>99</v>
      </c>
      <c r="AX190">
        <f t="shared" si="96"/>
        <v>95</v>
      </c>
      <c r="AY190">
        <f t="shared" si="85"/>
        <v>90.000180000360004</v>
      </c>
      <c r="AZ190">
        <f t="shared" si="97"/>
        <v>92</v>
      </c>
      <c r="BA190">
        <f t="shared" si="98"/>
        <v>76.400009000017988</v>
      </c>
      <c r="BB190">
        <f t="shared" si="127"/>
        <v>3</v>
      </c>
      <c r="BC190" t="str">
        <f t="shared" si="99"/>
        <v>CLIP-003</v>
      </c>
    </row>
    <row r="191" spans="2:55" ht="52.8" x14ac:dyDescent="0.3">
      <c r="B191" s="5" t="s">
        <v>731</v>
      </c>
      <c r="C191" s="15" t="s">
        <v>864</v>
      </c>
      <c r="D191" s="5" t="s">
        <v>878</v>
      </c>
      <c r="E191" s="5" t="s">
        <v>879</v>
      </c>
      <c r="F191" s="5" t="s">
        <v>78</v>
      </c>
      <c r="G191" s="5">
        <v>1400</v>
      </c>
      <c r="H191" s="5">
        <v>0.3</v>
      </c>
      <c r="I191" s="5">
        <v>500000</v>
      </c>
      <c r="J191" s="5">
        <v>150000</v>
      </c>
      <c r="K191" s="5">
        <v>10</v>
      </c>
      <c r="L191" s="5">
        <v>5</v>
      </c>
      <c r="M191" s="5">
        <v>0.4</v>
      </c>
      <c r="N191" s="5">
        <v>90</v>
      </c>
      <c r="O191" s="5">
        <v>90</v>
      </c>
      <c r="P191" s="5" t="s">
        <v>880</v>
      </c>
      <c r="Q191" s="5">
        <v>7</v>
      </c>
      <c r="R191" s="5">
        <v>8.5</v>
      </c>
      <c r="S191" s="5" t="s">
        <v>54</v>
      </c>
      <c r="T191" s="5">
        <v>6.5</v>
      </c>
      <c r="U191" s="5" t="s">
        <v>174</v>
      </c>
      <c r="V191" s="5" t="s">
        <v>54</v>
      </c>
      <c r="W191" s="5">
        <v>3</v>
      </c>
      <c r="X191" s="5" t="s">
        <v>68</v>
      </c>
      <c r="Y191" s="5">
        <v>10</v>
      </c>
      <c r="Z191" s="5">
        <v>7</v>
      </c>
      <c r="AA191" s="5" t="s">
        <v>881</v>
      </c>
      <c r="AB191" s="5" t="s">
        <v>882</v>
      </c>
      <c r="AC191" s="5" t="s">
        <v>883</v>
      </c>
      <c r="AD191" s="5"/>
      <c r="AF191" s="15" t="s">
        <v>864</v>
      </c>
      <c r="AG191" s="15" t="s">
        <v>879</v>
      </c>
      <c r="AH191">
        <f t="shared" si="124"/>
        <v>100</v>
      </c>
      <c r="AI191">
        <f t="shared" si="86"/>
        <v>70</v>
      </c>
      <c r="AJ191" s="12">
        <f t="shared" si="87"/>
        <v>92</v>
      </c>
      <c r="AK191">
        <f t="shared" si="88"/>
        <v>90</v>
      </c>
      <c r="AL191">
        <f t="shared" si="89"/>
        <v>50</v>
      </c>
      <c r="AM191">
        <f t="shared" si="90"/>
        <v>0</v>
      </c>
      <c r="AN191">
        <f t="shared" si="84"/>
        <v>0</v>
      </c>
      <c r="AO191">
        <f t="shared" si="91"/>
        <v>70</v>
      </c>
      <c r="AP191">
        <f t="shared" si="92"/>
        <v>76.2</v>
      </c>
      <c r="AQ191">
        <f t="shared" si="126"/>
        <v>5</v>
      </c>
      <c r="AR191" t="str">
        <f t="shared" si="93"/>
        <v>CLIP-004</v>
      </c>
      <c r="AS191" s="15" t="s">
        <v>864</v>
      </c>
      <c r="AT191" s="15" t="s">
        <v>879</v>
      </c>
      <c r="AU191">
        <f t="shared" si="125"/>
        <v>100</v>
      </c>
      <c r="AV191">
        <f t="shared" si="94"/>
        <v>50</v>
      </c>
      <c r="AW191">
        <f t="shared" si="95"/>
        <v>90</v>
      </c>
      <c r="AX191">
        <f t="shared" si="96"/>
        <v>70</v>
      </c>
      <c r="AY191">
        <f t="shared" si="85"/>
        <v>0</v>
      </c>
      <c r="AZ191">
        <f t="shared" si="97"/>
        <v>0</v>
      </c>
      <c r="BA191">
        <f t="shared" si="98"/>
        <v>71</v>
      </c>
      <c r="BB191">
        <f t="shared" si="127"/>
        <v>5</v>
      </c>
      <c r="BC191" t="str">
        <f t="shared" si="99"/>
        <v>CLIP-004</v>
      </c>
    </row>
    <row r="192" spans="2:55" ht="39.6" x14ac:dyDescent="0.3">
      <c r="B192" s="5" t="s">
        <v>731</v>
      </c>
      <c r="C192" s="15" t="s">
        <v>864</v>
      </c>
      <c r="D192" s="5" t="s">
        <v>884</v>
      </c>
      <c r="E192" s="5" t="s">
        <v>885</v>
      </c>
      <c r="F192" s="5" t="s">
        <v>84</v>
      </c>
      <c r="G192" s="5">
        <v>150</v>
      </c>
      <c r="H192" s="5">
        <v>0.8</v>
      </c>
      <c r="I192" s="5">
        <v>80000</v>
      </c>
      <c r="J192" s="5">
        <v>64000</v>
      </c>
      <c r="K192" s="5">
        <v>7</v>
      </c>
      <c r="L192" s="5">
        <v>3</v>
      </c>
      <c r="M192" s="5">
        <v>0.15</v>
      </c>
      <c r="N192" s="5">
        <v>96</v>
      </c>
      <c r="O192" s="5">
        <v>45</v>
      </c>
      <c r="P192" s="5" t="s">
        <v>834</v>
      </c>
      <c r="Q192" s="5">
        <v>9.1999999999999993</v>
      </c>
      <c r="R192" s="5">
        <v>9.1999999999999993</v>
      </c>
      <c r="S192" s="5" t="s">
        <v>886</v>
      </c>
      <c r="T192" s="5">
        <v>9.5</v>
      </c>
      <c r="U192" s="5" t="s">
        <v>53</v>
      </c>
      <c r="V192" s="5" t="s">
        <v>46</v>
      </c>
      <c r="W192" s="5">
        <v>2</v>
      </c>
      <c r="X192" s="5" t="s">
        <v>38</v>
      </c>
      <c r="Y192" s="5">
        <v>25</v>
      </c>
      <c r="Z192" s="5">
        <v>9.1999999999999993</v>
      </c>
      <c r="AA192" s="5" t="s">
        <v>887</v>
      </c>
      <c r="AB192" s="5" t="s">
        <v>888</v>
      </c>
      <c r="AC192" s="5" t="s">
        <v>889</v>
      </c>
      <c r="AD192" s="5"/>
      <c r="AF192" s="15" t="s">
        <v>864</v>
      </c>
      <c r="AG192" s="15" t="s">
        <v>885</v>
      </c>
      <c r="AH192">
        <f t="shared" si="124"/>
        <v>0</v>
      </c>
      <c r="AI192">
        <f t="shared" si="86"/>
        <v>92</v>
      </c>
      <c r="AJ192" s="12">
        <f t="shared" si="87"/>
        <v>97</v>
      </c>
      <c r="AK192">
        <f t="shared" si="88"/>
        <v>96</v>
      </c>
      <c r="AL192">
        <f t="shared" si="89"/>
        <v>65</v>
      </c>
      <c r="AM192">
        <f t="shared" si="90"/>
        <v>70</v>
      </c>
      <c r="AN192">
        <f t="shared" si="84"/>
        <v>84.000168000336004</v>
      </c>
      <c r="AO192">
        <f t="shared" si="91"/>
        <v>92</v>
      </c>
      <c r="AP192">
        <f t="shared" si="92"/>
        <v>66.310005040010083</v>
      </c>
      <c r="AQ192">
        <f t="shared" si="126"/>
        <v>8</v>
      </c>
      <c r="AR192" t="str">
        <f t="shared" si="93"/>
        <v>CLIP-005</v>
      </c>
      <c r="AS192" s="15" t="s">
        <v>864</v>
      </c>
      <c r="AT192" s="15" t="s">
        <v>885</v>
      </c>
      <c r="AU192">
        <f t="shared" si="125"/>
        <v>0</v>
      </c>
      <c r="AV192">
        <f t="shared" si="94"/>
        <v>65</v>
      </c>
      <c r="AW192">
        <f t="shared" si="95"/>
        <v>96</v>
      </c>
      <c r="AX192">
        <f t="shared" si="96"/>
        <v>92</v>
      </c>
      <c r="AY192">
        <f t="shared" si="85"/>
        <v>84.000168000336004</v>
      </c>
      <c r="AZ192">
        <f t="shared" si="97"/>
        <v>70</v>
      </c>
      <c r="BA192">
        <f t="shared" si="98"/>
        <v>56.950008400016799</v>
      </c>
      <c r="BB192">
        <f t="shared" si="127"/>
        <v>8</v>
      </c>
      <c r="BC192" t="str">
        <f t="shared" si="99"/>
        <v>CLIP-005</v>
      </c>
    </row>
    <row r="193" spans="2:55" ht="39.6" x14ac:dyDescent="0.3">
      <c r="B193" s="5" t="s">
        <v>731</v>
      </c>
      <c r="C193" s="15" t="s">
        <v>864</v>
      </c>
      <c r="D193" s="5" t="s">
        <v>890</v>
      </c>
      <c r="E193" s="5" t="s">
        <v>891</v>
      </c>
      <c r="F193" s="5" t="s">
        <v>33</v>
      </c>
      <c r="G193" s="5">
        <v>65</v>
      </c>
      <c r="H193" s="5">
        <v>0.55000000000000004</v>
      </c>
      <c r="I193" s="5">
        <v>150000</v>
      </c>
      <c r="J193" s="5">
        <v>82500</v>
      </c>
      <c r="K193" s="5">
        <v>5</v>
      </c>
      <c r="L193" s="5">
        <v>2</v>
      </c>
      <c r="M193" s="5">
        <v>0.2</v>
      </c>
      <c r="N193" s="5">
        <v>97</v>
      </c>
      <c r="O193" s="5">
        <v>60</v>
      </c>
      <c r="P193" s="5" t="s">
        <v>892</v>
      </c>
      <c r="Q193" s="5">
        <v>8.8000000000000007</v>
      </c>
      <c r="R193" s="5">
        <v>9.6</v>
      </c>
      <c r="S193" s="5" t="s">
        <v>67</v>
      </c>
      <c r="T193" s="5">
        <v>8.8000000000000007</v>
      </c>
      <c r="U193" s="5" t="s">
        <v>53</v>
      </c>
      <c r="V193" s="5" t="s">
        <v>37</v>
      </c>
      <c r="W193" s="5">
        <v>2</v>
      </c>
      <c r="X193" s="5" t="s">
        <v>38</v>
      </c>
      <c r="Y193" s="5">
        <v>18</v>
      </c>
      <c r="Z193" s="5">
        <v>9.6</v>
      </c>
      <c r="AA193" s="5" t="s">
        <v>893</v>
      </c>
      <c r="AB193" s="5" t="s">
        <v>894</v>
      </c>
      <c r="AC193" s="5" t="s">
        <v>895</v>
      </c>
      <c r="AD193" s="5"/>
      <c r="AF193" s="15" t="s">
        <v>864</v>
      </c>
      <c r="AG193" s="15" t="s">
        <v>891</v>
      </c>
      <c r="AH193">
        <f t="shared" si="124"/>
        <v>49.999999999999986</v>
      </c>
      <c r="AI193">
        <f t="shared" si="86"/>
        <v>88</v>
      </c>
      <c r="AJ193" s="12">
        <f t="shared" si="87"/>
        <v>96</v>
      </c>
      <c r="AK193">
        <f t="shared" si="88"/>
        <v>97</v>
      </c>
      <c r="AL193">
        <f t="shared" si="89"/>
        <v>75</v>
      </c>
      <c r="AM193">
        <f t="shared" si="90"/>
        <v>87</v>
      </c>
      <c r="AN193">
        <f t="shared" si="84"/>
        <v>70.000140000279998</v>
      </c>
      <c r="AO193">
        <f t="shared" si="91"/>
        <v>96</v>
      </c>
      <c r="AP193">
        <f t="shared" si="92"/>
        <v>79.320004200008384</v>
      </c>
      <c r="AQ193">
        <f t="shared" si="126"/>
        <v>4</v>
      </c>
      <c r="AR193" t="str">
        <f t="shared" si="93"/>
        <v>CLIP-006</v>
      </c>
      <c r="AS193" s="15" t="s">
        <v>864</v>
      </c>
      <c r="AT193" s="15" t="s">
        <v>891</v>
      </c>
      <c r="AU193">
        <f t="shared" si="125"/>
        <v>49.999999999999986</v>
      </c>
      <c r="AV193">
        <f t="shared" si="94"/>
        <v>75</v>
      </c>
      <c r="AW193">
        <f t="shared" si="95"/>
        <v>97</v>
      </c>
      <c r="AX193">
        <f t="shared" si="96"/>
        <v>88</v>
      </c>
      <c r="AY193">
        <f t="shared" si="85"/>
        <v>70.000140000279998</v>
      </c>
      <c r="AZ193">
        <f t="shared" si="97"/>
        <v>87</v>
      </c>
      <c r="BA193">
        <f t="shared" si="98"/>
        <v>74.200007000013983</v>
      </c>
      <c r="BB193">
        <f t="shared" si="127"/>
        <v>4</v>
      </c>
      <c r="BC193" t="str">
        <f t="shared" si="99"/>
        <v>CLIP-006</v>
      </c>
    </row>
    <row r="194" spans="2:55" ht="39.6" x14ac:dyDescent="0.3">
      <c r="B194" s="5" t="s">
        <v>731</v>
      </c>
      <c r="C194" s="15" t="s">
        <v>864</v>
      </c>
      <c r="D194" s="5" t="s">
        <v>896</v>
      </c>
      <c r="E194" s="5" t="s">
        <v>897</v>
      </c>
      <c r="F194" s="5" t="s">
        <v>72</v>
      </c>
      <c r="G194" s="5">
        <v>15</v>
      </c>
      <c r="H194" s="5">
        <v>0.7</v>
      </c>
      <c r="I194" s="5">
        <v>60000</v>
      </c>
      <c r="J194" s="5">
        <v>42000</v>
      </c>
      <c r="K194" s="5">
        <v>10</v>
      </c>
      <c r="L194" s="5">
        <v>5</v>
      </c>
      <c r="M194" s="5">
        <v>0.1</v>
      </c>
      <c r="N194" s="5">
        <v>98</v>
      </c>
      <c r="O194" s="5">
        <v>30</v>
      </c>
      <c r="P194" s="5" t="s">
        <v>898</v>
      </c>
      <c r="Q194" s="5">
        <v>9.3000000000000007</v>
      </c>
      <c r="R194" s="5">
        <v>9.4</v>
      </c>
      <c r="S194" s="5" t="s">
        <v>851</v>
      </c>
      <c r="T194" s="5">
        <v>9.3000000000000007</v>
      </c>
      <c r="U194" s="5" t="s">
        <v>53</v>
      </c>
      <c r="V194" s="5" t="s">
        <v>54</v>
      </c>
      <c r="W194" s="5">
        <v>1</v>
      </c>
      <c r="X194" s="5" t="s">
        <v>38</v>
      </c>
      <c r="Y194" s="5">
        <v>22</v>
      </c>
      <c r="Z194" s="5">
        <v>9.4</v>
      </c>
      <c r="AA194" s="5" t="s">
        <v>899</v>
      </c>
      <c r="AB194" s="5" t="s">
        <v>900</v>
      </c>
      <c r="AC194" s="5" t="s">
        <v>851</v>
      </c>
      <c r="AD194" s="5"/>
      <c r="AF194" s="15" t="s">
        <v>864</v>
      </c>
      <c r="AG194" s="15" t="s">
        <v>897</v>
      </c>
      <c r="AH194">
        <f t="shared" si="124"/>
        <v>20</v>
      </c>
      <c r="AI194">
        <f t="shared" si="86"/>
        <v>93</v>
      </c>
      <c r="AJ194" s="12">
        <f t="shared" si="87"/>
        <v>98</v>
      </c>
      <c r="AK194">
        <f t="shared" si="88"/>
        <v>98</v>
      </c>
      <c r="AL194">
        <f t="shared" si="89"/>
        <v>50</v>
      </c>
      <c r="AM194">
        <f t="shared" si="90"/>
        <v>97</v>
      </c>
      <c r="AN194">
        <f t="shared" si="84"/>
        <v>88.000176000351999</v>
      </c>
      <c r="AO194">
        <f t="shared" si="91"/>
        <v>94</v>
      </c>
      <c r="AP194">
        <f t="shared" si="92"/>
        <v>72.020005280010551</v>
      </c>
      <c r="AQ194">
        <f t="shared" si="126"/>
        <v>6</v>
      </c>
      <c r="AR194" t="str">
        <f t="shared" si="93"/>
        <v>CLIP-007</v>
      </c>
      <c r="AS194" s="15" t="s">
        <v>864</v>
      </c>
      <c r="AT194" s="15" t="s">
        <v>897</v>
      </c>
      <c r="AU194">
        <f t="shared" si="125"/>
        <v>20</v>
      </c>
      <c r="AV194">
        <f t="shared" si="94"/>
        <v>50</v>
      </c>
      <c r="AW194">
        <f t="shared" si="95"/>
        <v>98</v>
      </c>
      <c r="AX194">
        <f t="shared" si="96"/>
        <v>93</v>
      </c>
      <c r="AY194">
        <f t="shared" si="85"/>
        <v>88.000176000351999</v>
      </c>
      <c r="AZ194">
        <f t="shared" si="97"/>
        <v>97</v>
      </c>
      <c r="BA194">
        <f t="shared" si="98"/>
        <v>61.300008800017601</v>
      </c>
      <c r="BB194">
        <f t="shared" si="127"/>
        <v>7</v>
      </c>
      <c r="BC194" t="str">
        <f t="shared" si="99"/>
        <v>CLIP-007</v>
      </c>
    </row>
    <row r="195" spans="2:55" ht="39.6" x14ac:dyDescent="0.3">
      <c r="B195" s="5" t="s">
        <v>731</v>
      </c>
      <c r="C195" s="15" t="s">
        <v>864</v>
      </c>
      <c r="D195" s="5" t="s">
        <v>901</v>
      </c>
      <c r="E195" s="5" t="s">
        <v>902</v>
      </c>
      <c r="F195" s="5" t="s">
        <v>59</v>
      </c>
      <c r="G195" s="5">
        <v>200</v>
      </c>
      <c r="H195" s="5">
        <v>0.65</v>
      </c>
      <c r="I195" s="5">
        <v>100000</v>
      </c>
      <c r="J195" s="5">
        <v>65000</v>
      </c>
      <c r="K195" s="5">
        <v>7</v>
      </c>
      <c r="L195" s="5">
        <v>3</v>
      </c>
      <c r="M195" s="5">
        <v>0.18</v>
      </c>
      <c r="N195" s="5">
        <v>96</v>
      </c>
      <c r="O195" s="5">
        <v>45</v>
      </c>
      <c r="P195" s="5" t="s">
        <v>903</v>
      </c>
      <c r="Q195" s="5">
        <v>8.5</v>
      </c>
      <c r="R195" s="5">
        <v>9.3000000000000007</v>
      </c>
      <c r="S195" s="5" t="s">
        <v>74</v>
      </c>
      <c r="T195" s="5">
        <v>8.5</v>
      </c>
      <c r="U195" s="5" t="s">
        <v>53</v>
      </c>
      <c r="V195" s="5" t="s">
        <v>46</v>
      </c>
      <c r="W195" s="5">
        <v>2</v>
      </c>
      <c r="X195" s="5" t="s">
        <v>38</v>
      </c>
      <c r="Y195" s="5">
        <v>28</v>
      </c>
      <c r="Z195" s="5">
        <v>9.3000000000000007</v>
      </c>
      <c r="AA195" s="5" t="s">
        <v>904</v>
      </c>
      <c r="AB195" s="5" t="s">
        <v>905</v>
      </c>
      <c r="AC195" s="5" t="s">
        <v>847</v>
      </c>
      <c r="AD195" s="5"/>
      <c r="AF195" s="15" t="s">
        <v>864</v>
      </c>
      <c r="AG195" s="15" t="s">
        <v>902</v>
      </c>
      <c r="AH195">
        <f t="shared" si="124"/>
        <v>30</v>
      </c>
      <c r="AI195">
        <f t="shared" si="86"/>
        <v>85</v>
      </c>
      <c r="AJ195" s="12">
        <f t="shared" si="87"/>
        <v>96.4</v>
      </c>
      <c r="AK195">
        <f t="shared" si="88"/>
        <v>96</v>
      </c>
      <c r="AL195">
        <f t="shared" si="89"/>
        <v>65</v>
      </c>
      <c r="AM195">
        <f t="shared" si="90"/>
        <v>60</v>
      </c>
      <c r="AN195">
        <f t="shared" si="84"/>
        <v>80.000160000319994</v>
      </c>
      <c r="AO195">
        <f t="shared" si="91"/>
        <v>93</v>
      </c>
      <c r="AP195">
        <f t="shared" si="92"/>
        <v>71.370004800009596</v>
      </c>
      <c r="AQ195">
        <f t="shared" si="126"/>
        <v>7</v>
      </c>
      <c r="AR195" t="str">
        <f t="shared" si="93"/>
        <v>CLIP-008</v>
      </c>
      <c r="AS195" s="15" t="s">
        <v>864</v>
      </c>
      <c r="AT195" s="15" t="s">
        <v>902</v>
      </c>
      <c r="AU195">
        <f t="shared" si="125"/>
        <v>30</v>
      </c>
      <c r="AV195">
        <f t="shared" si="94"/>
        <v>65</v>
      </c>
      <c r="AW195">
        <f t="shared" si="95"/>
        <v>96</v>
      </c>
      <c r="AX195">
        <f t="shared" si="96"/>
        <v>85</v>
      </c>
      <c r="AY195">
        <f t="shared" si="85"/>
        <v>80.000160000319994</v>
      </c>
      <c r="AZ195">
        <f t="shared" si="97"/>
        <v>60</v>
      </c>
      <c r="BA195">
        <f t="shared" si="98"/>
        <v>64.200008000015998</v>
      </c>
      <c r="BB195">
        <f t="shared" si="127"/>
        <v>6</v>
      </c>
      <c r="BC195" t="str">
        <f t="shared" si="99"/>
        <v>CLIP-008</v>
      </c>
    </row>
    <row r="196" spans="2:55" ht="39.6" x14ac:dyDescent="0.3">
      <c r="B196" s="5" t="s">
        <v>731</v>
      </c>
      <c r="C196" s="15" t="s">
        <v>906</v>
      </c>
      <c r="D196" s="5" t="s">
        <v>907</v>
      </c>
      <c r="E196" s="5" t="s">
        <v>908</v>
      </c>
      <c r="F196" s="5" t="s">
        <v>524</v>
      </c>
      <c r="G196" s="5">
        <v>30</v>
      </c>
      <c r="H196" s="5">
        <v>8</v>
      </c>
      <c r="I196" s="5">
        <v>50000</v>
      </c>
      <c r="J196" s="5">
        <v>400000</v>
      </c>
      <c r="K196" s="5">
        <v>14</v>
      </c>
      <c r="L196" s="5">
        <v>7</v>
      </c>
      <c r="M196" s="5">
        <v>0.3</v>
      </c>
      <c r="N196" s="5">
        <v>97</v>
      </c>
      <c r="O196" s="5">
        <v>60</v>
      </c>
      <c r="P196" s="5" t="s">
        <v>771</v>
      </c>
      <c r="Q196" s="5">
        <v>8.8000000000000007</v>
      </c>
      <c r="R196" s="5">
        <v>9</v>
      </c>
      <c r="S196" s="5" t="s">
        <v>67</v>
      </c>
      <c r="T196" s="5">
        <v>8</v>
      </c>
      <c r="U196" s="5" t="s">
        <v>53</v>
      </c>
      <c r="V196" s="5" t="s">
        <v>37</v>
      </c>
      <c r="W196" s="5">
        <v>2</v>
      </c>
      <c r="X196" s="5" t="s">
        <v>38</v>
      </c>
      <c r="Y196" s="5">
        <v>45</v>
      </c>
      <c r="Z196" s="5">
        <v>8.5</v>
      </c>
      <c r="AA196" s="5" t="s">
        <v>909</v>
      </c>
      <c r="AB196" s="5" t="s">
        <v>910</v>
      </c>
      <c r="AC196" s="5" t="s">
        <v>911</v>
      </c>
      <c r="AD196" s="5"/>
      <c r="AF196" s="15" t="s">
        <v>906</v>
      </c>
      <c r="AG196" s="15" t="s">
        <v>908</v>
      </c>
      <c r="AH196">
        <f t="shared" ref="AH196:AH203" si="128">100-((H196-MIN($H$196:$H$203))/(MAX($H$196:$H$203)-MIN($H$196:$H$203))*100)</f>
        <v>57.142857142857146</v>
      </c>
      <c r="AI196">
        <f t="shared" si="86"/>
        <v>88</v>
      </c>
      <c r="AJ196" s="12">
        <f t="shared" si="87"/>
        <v>94</v>
      </c>
      <c r="AK196">
        <f t="shared" si="88"/>
        <v>97</v>
      </c>
      <c r="AL196">
        <f t="shared" si="89"/>
        <v>30</v>
      </c>
      <c r="AM196">
        <f t="shared" si="90"/>
        <v>94</v>
      </c>
      <c r="AN196">
        <f t="shared" si="84"/>
        <v>90.000180000360004</v>
      </c>
      <c r="AO196">
        <f t="shared" si="91"/>
        <v>85</v>
      </c>
      <c r="AP196">
        <f t="shared" si="92"/>
        <v>77.035719685725084</v>
      </c>
      <c r="AQ196">
        <f>RANK(AP196, $AP$196:$AP$203, 0)</f>
        <v>1</v>
      </c>
      <c r="AR196" t="str">
        <f t="shared" si="93"/>
        <v>PETJAR-001</v>
      </c>
      <c r="AS196" s="15" t="s">
        <v>906</v>
      </c>
      <c r="AT196" s="15" t="s">
        <v>908</v>
      </c>
      <c r="AU196">
        <f t="shared" ref="AU196:AU203" si="129">100-((H196-MIN($H$196:$H$203))/(MAX($H$196:$H$203)-MIN($H$196:$H$203))*100)</f>
        <v>57.142857142857146</v>
      </c>
      <c r="AV196">
        <f t="shared" si="94"/>
        <v>30</v>
      </c>
      <c r="AW196">
        <f t="shared" si="95"/>
        <v>97</v>
      </c>
      <c r="AX196">
        <f t="shared" si="96"/>
        <v>88</v>
      </c>
      <c r="AY196">
        <f t="shared" si="85"/>
        <v>90.000180000360004</v>
      </c>
      <c r="AZ196">
        <f t="shared" si="97"/>
        <v>94</v>
      </c>
      <c r="BA196">
        <f t="shared" si="98"/>
        <v>66.442866142875147</v>
      </c>
      <c r="BB196">
        <f>RANK(BA196, $BA$196:$BA$203, 0)</f>
        <v>1</v>
      </c>
      <c r="BC196" t="str">
        <f t="shared" si="99"/>
        <v>PETJAR-001</v>
      </c>
    </row>
    <row r="197" spans="2:55" ht="39.6" x14ac:dyDescent="0.3">
      <c r="B197" s="5" t="s">
        <v>731</v>
      </c>
      <c r="C197" s="15" t="s">
        <v>906</v>
      </c>
      <c r="D197" s="5" t="s">
        <v>912</v>
      </c>
      <c r="E197" s="5" t="s">
        <v>913</v>
      </c>
      <c r="F197" s="5" t="s">
        <v>223</v>
      </c>
      <c r="G197" s="5">
        <v>40</v>
      </c>
      <c r="H197" s="5">
        <v>7.5</v>
      </c>
      <c r="I197" s="5">
        <v>100000</v>
      </c>
      <c r="J197" s="5">
        <v>750000</v>
      </c>
      <c r="K197" s="5">
        <v>21</v>
      </c>
      <c r="L197" s="5">
        <v>10</v>
      </c>
      <c r="M197" s="5">
        <v>0.5</v>
      </c>
      <c r="N197" s="5">
        <v>96</v>
      </c>
      <c r="O197" s="5">
        <v>45</v>
      </c>
      <c r="P197" s="5" t="s">
        <v>735</v>
      </c>
      <c r="Q197" s="5">
        <v>8</v>
      </c>
      <c r="R197" s="5">
        <v>9.1999999999999993</v>
      </c>
      <c r="S197" s="5" t="s">
        <v>52</v>
      </c>
      <c r="T197" s="5">
        <v>7.5</v>
      </c>
      <c r="U197" s="5" t="s">
        <v>81</v>
      </c>
      <c r="V197" s="5" t="s">
        <v>46</v>
      </c>
      <c r="W197" s="5">
        <v>3</v>
      </c>
      <c r="X197" s="5" t="s">
        <v>38</v>
      </c>
      <c r="Y197" s="5">
        <v>60</v>
      </c>
      <c r="Z197" s="5">
        <v>8.8000000000000007</v>
      </c>
      <c r="AA197" s="5" t="s">
        <v>914</v>
      </c>
      <c r="AB197" s="5" t="s">
        <v>915</v>
      </c>
      <c r="AC197" s="5" t="s">
        <v>916</v>
      </c>
      <c r="AD197" s="5"/>
      <c r="AF197" s="15" t="s">
        <v>906</v>
      </c>
      <c r="AG197" s="15" t="s">
        <v>913</v>
      </c>
      <c r="AH197">
        <f t="shared" si="128"/>
        <v>71.428571428571431</v>
      </c>
      <c r="AI197">
        <f t="shared" si="86"/>
        <v>80</v>
      </c>
      <c r="AJ197" s="12">
        <f t="shared" si="87"/>
        <v>90</v>
      </c>
      <c r="AK197">
        <f t="shared" si="88"/>
        <v>96</v>
      </c>
      <c r="AL197">
        <f t="shared" si="89"/>
        <v>0</v>
      </c>
      <c r="AM197">
        <f t="shared" si="90"/>
        <v>92</v>
      </c>
      <c r="AN197">
        <f t="shared" si="84"/>
        <v>80.000160000319994</v>
      </c>
      <c r="AO197">
        <f t="shared" si="91"/>
        <v>88</v>
      </c>
      <c r="AP197">
        <f t="shared" si="92"/>
        <v>74.517147657152464</v>
      </c>
      <c r="AQ197">
        <f t="shared" ref="AQ197:AQ203" si="130">RANK(AP197, $AP$196:$AP$203, 0)</f>
        <v>3</v>
      </c>
      <c r="AR197" t="str">
        <f t="shared" si="93"/>
        <v>PETJAR-002</v>
      </c>
      <c r="AS197" s="15" t="s">
        <v>906</v>
      </c>
      <c r="AT197" s="15" t="s">
        <v>913</v>
      </c>
      <c r="AU197">
        <f t="shared" si="129"/>
        <v>71.428571428571431</v>
      </c>
      <c r="AV197">
        <f t="shared" si="94"/>
        <v>0</v>
      </c>
      <c r="AW197">
        <f t="shared" si="95"/>
        <v>96</v>
      </c>
      <c r="AX197">
        <f t="shared" si="96"/>
        <v>80</v>
      </c>
      <c r="AY197">
        <f t="shared" si="85"/>
        <v>80.000160000319994</v>
      </c>
      <c r="AZ197">
        <f t="shared" si="97"/>
        <v>92</v>
      </c>
      <c r="BA197">
        <f t="shared" si="98"/>
        <v>61.228579428587437</v>
      </c>
      <c r="BB197">
        <f t="shared" ref="BB197:BB203" si="131">RANK(BA197, $BA$196:$BA$203, 0)</f>
        <v>5</v>
      </c>
      <c r="BC197" t="str">
        <f t="shared" si="99"/>
        <v>PETJAR-002</v>
      </c>
    </row>
    <row r="198" spans="2:55" ht="39.6" x14ac:dyDescent="0.3">
      <c r="B198" s="5" t="s">
        <v>731</v>
      </c>
      <c r="C198" s="15" t="s">
        <v>906</v>
      </c>
      <c r="D198" s="5" t="s">
        <v>917</v>
      </c>
      <c r="E198" s="5" t="s">
        <v>918</v>
      </c>
      <c r="F198" s="5" t="s">
        <v>72</v>
      </c>
      <c r="G198" s="5">
        <v>15</v>
      </c>
      <c r="H198" s="5">
        <v>9</v>
      </c>
      <c r="I198" s="5">
        <v>25000</v>
      </c>
      <c r="J198" s="5">
        <v>225000</v>
      </c>
      <c r="K198" s="5">
        <v>10</v>
      </c>
      <c r="L198" s="5">
        <v>5</v>
      </c>
      <c r="M198" s="5">
        <v>0.2</v>
      </c>
      <c r="N198" s="5">
        <v>98</v>
      </c>
      <c r="O198" s="5">
        <v>30</v>
      </c>
      <c r="P198" s="5" t="s">
        <v>753</v>
      </c>
      <c r="Q198" s="5">
        <v>9</v>
      </c>
      <c r="R198" s="5">
        <v>9.5</v>
      </c>
      <c r="S198" s="5" t="s">
        <v>404</v>
      </c>
      <c r="T198" s="5">
        <v>9</v>
      </c>
      <c r="U198" s="5" t="s">
        <v>36</v>
      </c>
      <c r="V198" s="5" t="s">
        <v>37</v>
      </c>
      <c r="W198" s="5">
        <v>1</v>
      </c>
      <c r="X198" s="5" t="s">
        <v>38</v>
      </c>
      <c r="Y198" s="5">
        <v>30</v>
      </c>
      <c r="Z198" s="5">
        <v>9.1999999999999993</v>
      </c>
      <c r="AA198" s="5" t="s">
        <v>919</v>
      </c>
      <c r="AB198" s="5" t="s">
        <v>920</v>
      </c>
      <c r="AC198" s="5" t="s">
        <v>921</v>
      </c>
      <c r="AD198" s="5"/>
      <c r="AF198" s="15" t="s">
        <v>906</v>
      </c>
      <c r="AG198" s="15" t="s">
        <v>918</v>
      </c>
      <c r="AH198">
        <f t="shared" si="128"/>
        <v>28.571428571428569</v>
      </c>
      <c r="AI198">
        <f t="shared" si="86"/>
        <v>90</v>
      </c>
      <c r="AJ198" s="12">
        <f t="shared" si="87"/>
        <v>96</v>
      </c>
      <c r="AK198">
        <f t="shared" si="88"/>
        <v>98</v>
      </c>
      <c r="AL198">
        <f t="shared" si="89"/>
        <v>50</v>
      </c>
      <c r="AM198">
        <f t="shared" si="90"/>
        <v>97</v>
      </c>
      <c r="AN198">
        <f t="shared" si="84"/>
        <v>95.000190000380002</v>
      </c>
      <c r="AO198">
        <f t="shared" si="91"/>
        <v>92</v>
      </c>
      <c r="AP198">
        <f t="shared" si="92"/>
        <v>73.282862842868539</v>
      </c>
      <c r="AQ198">
        <f t="shared" si="130"/>
        <v>4</v>
      </c>
      <c r="AR198" t="str">
        <f t="shared" si="93"/>
        <v>PETJAR-003</v>
      </c>
      <c r="AS198" s="15" t="s">
        <v>906</v>
      </c>
      <c r="AT198" s="15" t="s">
        <v>918</v>
      </c>
      <c r="AU198">
        <f t="shared" si="129"/>
        <v>28.571428571428569</v>
      </c>
      <c r="AV198">
        <f t="shared" si="94"/>
        <v>50</v>
      </c>
      <c r="AW198">
        <f t="shared" si="95"/>
        <v>98</v>
      </c>
      <c r="AX198">
        <f t="shared" si="96"/>
        <v>90</v>
      </c>
      <c r="AY198">
        <f t="shared" si="85"/>
        <v>95.000190000380002</v>
      </c>
      <c r="AZ198">
        <f t="shared" si="97"/>
        <v>97</v>
      </c>
      <c r="BA198">
        <f t="shared" si="98"/>
        <v>63.771438071447569</v>
      </c>
      <c r="BB198">
        <f t="shared" si="131"/>
        <v>2</v>
      </c>
      <c r="BC198" t="str">
        <f t="shared" si="99"/>
        <v>PETJAR-003</v>
      </c>
    </row>
    <row r="199" spans="2:55" ht="39.6" x14ac:dyDescent="0.3">
      <c r="B199" s="5" t="s">
        <v>731</v>
      </c>
      <c r="C199" s="15" t="s">
        <v>906</v>
      </c>
      <c r="D199" s="5" t="s">
        <v>922</v>
      </c>
      <c r="E199" s="5" t="s">
        <v>923</v>
      </c>
      <c r="F199" s="5" t="s">
        <v>84</v>
      </c>
      <c r="G199" s="5">
        <v>150</v>
      </c>
      <c r="H199" s="5">
        <v>10</v>
      </c>
      <c r="I199" s="5">
        <v>20000</v>
      </c>
      <c r="J199" s="5">
        <v>200000</v>
      </c>
      <c r="K199" s="5">
        <v>30</v>
      </c>
      <c r="L199" s="5">
        <v>15</v>
      </c>
      <c r="M199" s="5">
        <v>0.1</v>
      </c>
      <c r="N199" s="5">
        <v>92</v>
      </c>
      <c r="O199" s="5" t="s">
        <v>154</v>
      </c>
      <c r="P199" s="5" t="s">
        <v>924</v>
      </c>
      <c r="Q199" s="5">
        <v>9.5</v>
      </c>
      <c r="R199" s="5">
        <v>8.5</v>
      </c>
      <c r="S199" s="5" t="s">
        <v>206</v>
      </c>
      <c r="T199" s="5">
        <v>9.1999999999999993</v>
      </c>
      <c r="U199" s="5" t="s">
        <v>36</v>
      </c>
      <c r="V199" s="5" t="s">
        <v>46</v>
      </c>
      <c r="W199" s="5">
        <v>1</v>
      </c>
      <c r="X199" s="5" t="s">
        <v>38</v>
      </c>
      <c r="Y199" s="5">
        <v>90</v>
      </c>
      <c r="Z199" s="5">
        <v>8.5</v>
      </c>
      <c r="AA199" s="5" t="s">
        <v>925</v>
      </c>
      <c r="AB199" s="5" t="s">
        <v>926</v>
      </c>
      <c r="AC199" s="5" t="s">
        <v>927</v>
      </c>
      <c r="AD199" s="5"/>
      <c r="AF199" s="15" t="s">
        <v>906</v>
      </c>
      <c r="AG199" s="15" t="s">
        <v>923</v>
      </c>
      <c r="AH199">
        <f t="shared" si="128"/>
        <v>0</v>
      </c>
      <c r="AI199">
        <f t="shared" si="86"/>
        <v>95</v>
      </c>
      <c r="AJ199" s="12">
        <f t="shared" si="87"/>
        <v>98</v>
      </c>
      <c r="AK199">
        <f t="shared" si="88"/>
        <v>92</v>
      </c>
      <c r="AL199">
        <f t="shared" si="89"/>
        <v>0</v>
      </c>
      <c r="AM199">
        <f t="shared" si="90"/>
        <v>70</v>
      </c>
      <c r="AN199">
        <f t="shared" si="84"/>
        <v>96.000192000384004</v>
      </c>
      <c r="AO199">
        <f t="shared" si="91"/>
        <v>85</v>
      </c>
      <c r="AP199">
        <f t="shared" si="92"/>
        <v>60.330005760011524</v>
      </c>
      <c r="AQ199">
        <f t="shared" si="130"/>
        <v>8</v>
      </c>
      <c r="AR199" t="str">
        <f t="shared" si="93"/>
        <v>PETJAR-004</v>
      </c>
      <c r="AS199" s="15" t="s">
        <v>906</v>
      </c>
      <c r="AT199" s="15" t="s">
        <v>923</v>
      </c>
      <c r="AU199">
        <f t="shared" si="129"/>
        <v>0</v>
      </c>
      <c r="AV199">
        <f t="shared" si="94"/>
        <v>0</v>
      </c>
      <c r="AW199">
        <f t="shared" si="95"/>
        <v>92</v>
      </c>
      <c r="AX199">
        <f t="shared" si="96"/>
        <v>95</v>
      </c>
      <c r="AY199">
        <f t="shared" si="85"/>
        <v>96.000192000384004</v>
      </c>
      <c r="AZ199">
        <f t="shared" si="97"/>
        <v>70</v>
      </c>
      <c r="BA199">
        <f t="shared" si="98"/>
        <v>40.950009600019207</v>
      </c>
      <c r="BB199">
        <f t="shared" si="131"/>
        <v>8</v>
      </c>
      <c r="BC199" t="str">
        <f t="shared" si="99"/>
        <v>PETJAR-004</v>
      </c>
    </row>
    <row r="200" spans="2:55" ht="39.6" x14ac:dyDescent="0.3">
      <c r="B200" s="5" t="s">
        <v>731</v>
      </c>
      <c r="C200" s="15" t="s">
        <v>906</v>
      </c>
      <c r="D200" s="5" t="s">
        <v>928</v>
      </c>
      <c r="E200" s="5" t="s">
        <v>929</v>
      </c>
      <c r="F200" s="5" t="s">
        <v>72</v>
      </c>
      <c r="G200" s="5">
        <v>20</v>
      </c>
      <c r="H200" s="5">
        <v>8.5</v>
      </c>
      <c r="I200" s="5">
        <v>30000</v>
      </c>
      <c r="J200" s="5">
        <v>255000</v>
      </c>
      <c r="K200" s="5">
        <v>14</v>
      </c>
      <c r="L200" s="5">
        <v>7</v>
      </c>
      <c r="M200" s="5">
        <v>0.25</v>
      </c>
      <c r="N200" s="5">
        <v>96</v>
      </c>
      <c r="O200" s="5">
        <v>45</v>
      </c>
      <c r="P200" s="5" t="s">
        <v>759</v>
      </c>
      <c r="Q200" s="5">
        <v>9.1999999999999993</v>
      </c>
      <c r="R200" s="5">
        <v>9</v>
      </c>
      <c r="S200" s="5" t="s">
        <v>930</v>
      </c>
      <c r="T200" s="5">
        <v>9.8000000000000007</v>
      </c>
      <c r="U200" s="5" t="s">
        <v>53</v>
      </c>
      <c r="V200" s="5" t="s">
        <v>54</v>
      </c>
      <c r="W200" s="5">
        <v>2</v>
      </c>
      <c r="X200" s="5" t="s">
        <v>38</v>
      </c>
      <c r="Y200" s="5">
        <v>40</v>
      </c>
      <c r="Z200" s="5">
        <v>9</v>
      </c>
      <c r="AA200" s="5" t="s">
        <v>909</v>
      </c>
      <c r="AB200" s="5" t="s">
        <v>931</v>
      </c>
      <c r="AC200" s="5" t="s">
        <v>932</v>
      </c>
      <c r="AD200" s="5"/>
      <c r="AF200" s="15" t="s">
        <v>906</v>
      </c>
      <c r="AG200" s="15" t="s">
        <v>929</v>
      </c>
      <c r="AH200">
        <f t="shared" si="128"/>
        <v>42.857142857142861</v>
      </c>
      <c r="AI200">
        <f t="shared" si="86"/>
        <v>92</v>
      </c>
      <c r="AJ200" s="12">
        <f t="shared" si="87"/>
        <v>95</v>
      </c>
      <c r="AK200">
        <f t="shared" si="88"/>
        <v>96</v>
      </c>
      <c r="AL200">
        <f t="shared" si="89"/>
        <v>30</v>
      </c>
      <c r="AM200">
        <f t="shared" si="90"/>
        <v>96</v>
      </c>
      <c r="AN200">
        <f t="shared" ref="AN200:AN267" si="132">100-((I200-MIN($I$8:$I$267))/(MAX($I$8:$I$267)-MIN($I$8:$I$267))*100)</f>
        <v>94.000188000375999</v>
      </c>
      <c r="AO200">
        <f t="shared" si="91"/>
        <v>90</v>
      </c>
      <c r="AP200">
        <f t="shared" si="92"/>
        <v>74.784291354296982</v>
      </c>
      <c r="AQ200">
        <f t="shared" si="130"/>
        <v>2</v>
      </c>
      <c r="AR200" t="str">
        <f t="shared" si="93"/>
        <v>PETJAR-005</v>
      </c>
      <c r="AS200" s="15" t="s">
        <v>906</v>
      </c>
      <c r="AT200" s="15" t="s">
        <v>929</v>
      </c>
      <c r="AU200">
        <f t="shared" si="129"/>
        <v>42.857142857142861</v>
      </c>
      <c r="AV200">
        <f t="shared" si="94"/>
        <v>30</v>
      </c>
      <c r="AW200">
        <f t="shared" si="95"/>
        <v>96</v>
      </c>
      <c r="AX200">
        <f t="shared" si="96"/>
        <v>92</v>
      </c>
      <c r="AY200">
        <f t="shared" ref="AY200:AY267" si="133">100-((I200-MIN($I$8:$I$267))/(MAX($I$8:$I$267)-MIN($I$8:$I$267))*100)</f>
        <v>94.000188000375999</v>
      </c>
      <c r="AZ200">
        <f t="shared" si="97"/>
        <v>96</v>
      </c>
      <c r="BA200">
        <f t="shared" si="98"/>
        <v>62.857152257161658</v>
      </c>
      <c r="BB200">
        <f t="shared" si="131"/>
        <v>3</v>
      </c>
      <c r="BC200" t="str">
        <f t="shared" si="99"/>
        <v>PETJAR-005</v>
      </c>
    </row>
    <row r="201" spans="2:55" ht="39.6" x14ac:dyDescent="0.3">
      <c r="B201" s="5" t="s">
        <v>731</v>
      </c>
      <c r="C201" s="15" t="s">
        <v>906</v>
      </c>
      <c r="D201" s="5" t="s">
        <v>933</v>
      </c>
      <c r="E201" s="5" t="s">
        <v>934</v>
      </c>
      <c r="F201" s="5" t="s">
        <v>78</v>
      </c>
      <c r="G201" s="5">
        <v>1400</v>
      </c>
      <c r="H201" s="5">
        <v>6.5</v>
      </c>
      <c r="I201" s="5">
        <v>200000</v>
      </c>
      <c r="J201" s="5">
        <v>1300000</v>
      </c>
      <c r="K201" s="5">
        <v>21</v>
      </c>
      <c r="L201" s="5">
        <v>10</v>
      </c>
      <c r="M201" s="5">
        <v>0.8</v>
      </c>
      <c r="N201" s="5">
        <v>88</v>
      </c>
      <c r="O201" s="5">
        <v>90</v>
      </c>
      <c r="P201" s="5" t="s">
        <v>765</v>
      </c>
      <c r="Q201" s="5">
        <v>7</v>
      </c>
      <c r="R201" s="5">
        <v>8</v>
      </c>
      <c r="S201" s="5" t="s">
        <v>54</v>
      </c>
      <c r="T201" s="5">
        <v>6.5</v>
      </c>
      <c r="U201" s="5" t="s">
        <v>174</v>
      </c>
      <c r="V201" s="5" t="s">
        <v>54</v>
      </c>
      <c r="W201" s="5">
        <v>3</v>
      </c>
      <c r="X201" s="5" t="s">
        <v>68</v>
      </c>
      <c r="Y201" s="5">
        <v>20</v>
      </c>
      <c r="Z201" s="5">
        <v>6.5</v>
      </c>
      <c r="AA201" s="5" t="s">
        <v>47</v>
      </c>
      <c r="AB201" s="5" t="s">
        <v>847</v>
      </c>
      <c r="AC201" s="5" t="s">
        <v>847</v>
      </c>
      <c r="AD201" s="5"/>
      <c r="AF201" s="15" t="s">
        <v>906</v>
      </c>
      <c r="AG201" s="15" t="s">
        <v>934</v>
      </c>
      <c r="AH201">
        <f t="shared" si="128"/>
        <v>100</v>
      </c>
      <c r="AI201">
        <f t="shared" ref="AI201:AI264" si="134">Q201*10</f>
        <v>70</v>
      </c>
      <c r="AJ201" s="12">
        <f t="shared" ref="AJ201:AJ264" si="135">MAX(0, 100-(M201*20))</f>
        <v>84</v>
      </c>
      <c r="AK201">
        <f t="shared" ref="AK201:AK264" si="136">N201</f>
        <v>88</v>
      </c>
      <c r="AL201">
        <f t="shared" ref="AL201:AL264" si="137">MAX(0, 100-(K201*5))</f>
        <v>0</v>
      </c>
      <c r="AM201">
        <f t="shared" ref="AM201:AM264" si="138">MAX(0, 100-(G201/5))</f>
        <v>0</v>
      </c>
      <c r="AN201">
        <f t="shared" si="132"/>
        <v>60.000120000239995</v>
      </c>
      <c r="AO201">
        <f t="shared" ref="AO201:AO264" si="139">Z201*10</f>
        <v>65</v>
      </c>
      <c r="AP201">
        <f t="shared" ref="AP201:AP264" si="140">SUM(AH201*0.25, AI201*0.25, AJ201*0.15, AK201*0.15, AL201*0.1, AM201*0.05,AN201*0.03,AO201*0.02)</f>
        <v>71.400003600007196</v>
      </c>
      <c r="AQ201">
        <f t="shared" si="130"/>
        <v>6</v>
      </c>
      <c r="AR201" t="str">
        <f t="shared" ref="AR201:AR264" si="141">D201</f>
        <v>PETJAR-006</v>
      </c>
      <c r="AS201" s="15" t="s">
        <v>906</v>
      </c>
      <c r="AT201" s="15" t="s">
        <v>934</v>
      </c>
      <c r="AU201">
        <f t="shared" si="129"/>
        <v>100</v>
      </c>
      <c r="AV201">
        <f t="shared" ref="AV201:AV264" si="142">MAX(0, 100-(K201*5))</f>
        <v>0</v>
      </c>
      <c r="AW201">
        <f t="shared" ref="AW201:AW264" si="143">N201</f>
        <v>88</v>
      </c>
      <c r="AX201">
        <f t="shared" ref="AX201:AX264" si="144">Q201*10</f>
        <v>70</v>
      </c>
      <c r="AY201">
        <f t="shared" si="133"/>
        <v>60.000120000239995</v>
      </c>
      <c r="AZ201">
        <f t="shared" ref="AZ201:AZ264" si="145">MAX(0, 100-(G201/5))</f>
        <v>0</v>
      </c>
      <c r="BA201">
        <f t="shared" ref="BA201:BA264" si="146">SUM(AU201*0.3,AV201*0.25,AW201*0.2,AX201*0.15,AY201*0.05,AZ201*0.05)</f>
        <v>61.100006000012002</v>
      </c>
      <c r="BB201">
        <f t="shared" si="131"/>
        <v>6</v>
      </c>
      <c r="BC201" t="str">
        <f t="shared" ref="BC201:BC264" si="147">D201</f>
        <v>PETJAR-006</v>
      </c>
    </row>
    <row r="202" spans="2:55" ht="39.6" x14ac:dyDescent="0.3">
      <c r="B202" s="5" t="s">
        <v>731</v>
      </c>
      <c r="C202" s="15" t="s">
        <v>906</v>
      </c>
      <c r="D202" s="5" t="s">
        <v>935</v>
      </c>
      <c r="E202" s="5" t="s">
        <v>936</v>
      </c>
      <c r="F202" s="5" t="s">
        <v>33</v>
      </c>
      <c r="G202" s="5">
        <v>65</v>
      </c>
      <c r="H202" s="5">
        <v>9.5</v>
      </c>
      <c r="I202" s="5">
        <v>40000</v>
      </c>
      <c r="J202" s="5">
        <v>380000</v>
      </c>
      <c r="K202" s="5">
        <v>21</v>
      </c>
      <c r="L202" s="5">
        <v>10</v>
      </c>
      <c r="M202" s="5">
        <v>0.3</v>
      </c>
      <c r="N202" s="5">
        <v>95</v>
      </c>
      <c r="O202" s="5">
        <v>60</v>
      </c>
      <c r="P202" s="5" t="s">
        <v>937</v>
      </c>
      <c r="Q202" s="5">
        <v>8.5</v>
      </c>
      <c r="R202" s="5">
        <v>9.3000000000000007</v>
      </c>
      <c r="S202" s="5" t="s">
        <v>67</v>
      </c>
      <c r="T202" s="5">
        <v>8.5</v>
      </c>
      <c r="U202" s="5" t="s">
        <v>53</v>
      </c>
      <c r="V202" s="5" t="s">
        <v>37</v>
      </c>
      <c r="W202" s="5">
        <v>2</v>
      </c>
      <c r="X202" s="5" t="s">
        <v>38</v>
      </c>
      <c r="Y202" s="5">
        <v>50</v>
      </c>
      <c r="Z202" s="5">
        <v>9.3000000000000007</v>
      </c>
      <c r="AA202" s="5" t="s">
        <v>938</v>
      </c>
      <c r="AB202" s="5" t="s">
        <v>851</v>
      </c>
      <c r="AC202" s="5" t="s">
        <v>851</v>
      </c>
      <c r="AD202" s="5"/>
      <c r="AF202" s="15" t="s">
        <v>906</v>
      </c>
      <c r="AG202" s="15" t="s">
        <v>936</v>
      </c>
      <c r="AH202">
        <f t="shared" si="128"/>
        <v>14.285714285714292</v>
      </c>
      <c r="AI202">
        <f t="shared" si="134"/>
        <v>85</v>
      </c>
      <c r="AJ202" s="12">
        <f t="shared" si="135"/>
        <v>94</v>
      </c>
      <c r="AK202">
        <f t="shared" si="136"/>
        <v>95</v>
      </c>
      <c r="AL202">
        <f t="shared" si="137"/>
        <v>0</v>
      </c>
      <c r="AM202">
        <f t="shared" si="138"/>
        <v>87</v>
      </c>
      <c r="AN202">
        <f t="shared" si="132"/>
        <v>92.000184000367994</v>
      </c>
      <c r="AO202">
        <f t="shared" si="139"/>
        <v>93</v>
      </c>
      <c r="AP202">
        <f t="shared" si="140"/>
        <v>62.141434091439613</v>
      </c>
      <c r="AQ202">
        <f t="shared" si="130"/>
        <v>7</v>
      </c>
      <c r="AR202" t="str">
        <f t="shared" si="141"/>
        <v>PETJAR-007</v>
      </c>
      <c r="AS202" s="15" t="s">
        <v>906</v>
      </c>
      <c r="AT202" s="15" t="s">
        <v>936</v>
      </c>
      <c r="AU202">
        <f t="shared" si="129"/>
        <v>14.285714285714292</v>
      </c>
      <c r="AV202">
        <f t="shared" si="142"/>
        <v>0</v>
      </c>
      <c r="AW202">
        <f t="shared" si="143"/>
        <v>95</v>
      </c>
      <c r="AX202">
        <f t="shared" si="144"/>
        <v>85</v>
      </c>
      <c r="AY202">
        <f t="shared" si="133"/>
        <v>92.000184000367994</v>
      </c>
      <c r="AZ202">
        <f t="shared" si="145"/>
        <v>87</v>
      </c>
      <c r="BA202">
        <f t="shared" si="146"/>
        <v>44.985723485732692</v>
      </c>
      <c r="BB202">
        <f t="shared" si="131"/>
        <v>7</v>
      </c>
      <c r="BC202" t="str">
        <f t="shared" si="147"/>
        <v>PETJAR-007</v>
      </c>
    </row>
    <row r="203" spans="2:55" ht="39.6" x14ac:dyDescent="0.3">
      <c r="B203" s="5" t="s">
        <v>731</v>
      </c>
      <c r="C203" s="15" t="s">
        <v>906</v>
      </c>
      <c r="D203" s="5" t="s">
        <v>939</v>
      </c>
      <c r="E203" s="5" t="s">
        <v>940</v>
      </c>
      <c r="F203" s="5" t="s">
        <v>59</v>
      </c>
      <c r="G203" s="5">
        <v>200</v>
      </c>
      <c r="H203" s="5">
        <v>8.1999999999999993</v>
      </c>
      <c r="I203" s="5">
        <v>60000</v>
      </c>
      <c r="J203" s="5">
        <v>492000</v>
      </c>
      <c r="K203" s="5">
        <v>14</v>
      </c>
      <c r="L203" s="5">
        <v>7</v>
      </c>
      <c r="M203" s="5">
        <v>0.35</v>
      </c>
      <c r="N203" s="5">
        <v>94</v>
      </c>
      <c r="O203" s="5">
        <v>45</v>
      </c>
      <c r="P203" s="5" t="s">
        <v>777</v>
      </c>
      <c r="Q203" s="5">
        <v>8.3000000000000007</v>
      </c>
      <c r="R203" s="5">
        <v>9.1</v>
      </c>
      <c r="S203" s="5" t="s">
        <v>74</v>
      </c>
      <c r="T203" s="5">
        <v>8.3000000000000007</v>
      </c>
      <c r="U203" s="5" t="s">
        <v>53</v>
      </c>
      <c r="V203" s="5" t="s">
        <v>46</v>
      </c>
      <c r="W203" s="5">
        <v>2</v>
      </c>
      <c r="X203" s="5" t="s">
        <v>38</v>
      </c>
      <c r="Y203" s="5">
        <v>35</v>
      </c>
      <c r="Z203" s="5">
        <v>9.1</v>
      </c>
      <c r="AA203" s="5" t="s">
        <v>941</v>
      </c>
      <c r="AB203" s="5" t="s">
        <v>942</v>
      </c>
      <c r="AC203" s="5" t="s">
        <v>943</v>
      </c>
      <c r="AD203" s="5"/>
      <c r="AF203" s="15" t="s">
        <v>906</v>
      </c>
      <c r="AG203" s="15" t="s">
        <v>940</v>
      </c>
      <c r="AH203">
        <f t="shared" si="128"/>
        <v>51.428571428571452</v>
      </c>
      <c r="AI203">
        <f t="shared" si="134"/>
        <v>83</v>
      </c>
      <c r="AJ203" s="12">
        <f t="shared" si="135"/>
        <v>93</v>
      </c>
      <c r="AK203">
        <f t="shared" si="136"/>
        <v>94</v>
      </c>
      <c r="AL203">
        <f t="shared" si="137"/>
        <v>30</v>
      </c>
      <c r="AM203">
        <f t="shared" si="138"/>
        <v>60</v>
      </c>
      <c r="AN203">
        <f t="shared" si="132"/>
        <v>88.000176000351999</v>
      </c>
      <c r="AO203">
        <f t="shared" si="139"/>
        <v>91</v>
      </c>
      <c r="AP203">
        <f t="shared" si="140"/>
        <v>72.117148137153421</v>
      </c>
      <c r="AQ203">
        <f t="shared" si="130"/>
        <v>5</v>
      </c>
      <c r="AR203" t="str">
        <f t="shared" si="141"/>
        <v>PETJAR-008</v>
      </c>
      <c r="AS203" s="15" t="s">
        <v>906</v>
      </c>
      <c r="AT203" s="15" t="s">
        <v>940</v>
      </c>
      <c r="AU203">
        <f t="shared" si="129"/>
        <v>51.428571428571452</v>
      </c>
      <c r="AV203">
        <f t="shared" si="142"/>
        <v>30</v>
      </c>
      <c r="AW203">
        <f t="shared" si="143"/>
        <v>94</v>
      </c>
      <c r="AX203">
        <f t="shared" si="144"/>
        <v>83</v>
      </c>
      <c r="AY203">
        <f t="shared" si="133"/>
        <v>88.000176000351999</v>
      </c>
      <c r="AZ203">
        <f t="shared" si="145"/>
        <v>60</v>
      </c>
      <c r="BA203">
        <f t="shared" si="146"/>
        <v>61.578580228589033</v>
      </c>
      <c r="BB203">
        <f t="shared" si="131"/>
        <v>4</v>
      </c>
      <c r="BC203" t="str">
        <f t="shared" si="147"/>
        <v>PETJAR-008</v>
      </c>
    </row>
    <row r="204" spans="2:55" ht="39.6" x14ac:dyDescent="0.3">
      <c r="B204" s="5" t="s">
        <v>731</v>
      </c>
      <c r="C204" s="15" t="s">
        <v>944</v>
      </c>
      <c r="D204" s="5" t="s">
        <v>945</v>
      </c>
      <c r="E204" s="5" t="s">
        <v>946</v>
      </c>
      <c r="F204" s="5" t="s">
        <v>72</v>
      </c>
      <c r="G204" s="5">
        <v>15</v>
      </c>
      <c r="H204" s="5">
        <v>0.6</v>
      </c>
      <c r="I204" s="5">
        <v>100000</v>
      </c>
      <c r="J204" s="5">
        <v>60000</v>
      </c>
      <c r="K204" s="5">
        <v>7</v>
      </c>
      <c r="L204" s="5">
        <v>3</v>
      </c>
      <c r="M204" s="5">
        <v>0.1</v>
      </c>
      <c r="N204" s="5">
        <v>99</v>
      </c>
      <c r="O204" s="5">
        <v>45</v>
      </c>
      <c r="P204" s="5" t="s">
        <v>845</v>
      </c>
      <c r="Q204" s="5">
        <v>9</v>
      </c>
      <c r="R204" s="5">
        <v>9.9</v>
      </c>
      <c r="S204" s="5" t="s">
        <v>67</v>
      </c>
      <c r="T204" s="5">
        <v>8.5</v>
      </c>
      <c r="U204" s="5" t="s">
        <v>36</v>
      </c>
      <c r="V204" s="5" t="s">
        <v>37</v>
      </c>
      <c r="W204" s="5">
        <v>1</v>
      </c>
      <c r="X204" s="5" t="s">
        <v>38</v>
      </c>
      <c r="Y204" s="5">
        <v>25</v>
      </c>
      <c r="Z204" s="5">
        <v>9.8000000000000007</v>
      </c>
      <c r="AA204" s="5" t="s">
        <v>47</v>
      </c>
      <c r="AB204" s="5" t="s">
        <v>841</v>
      </c>
      <c r="AC204" s="5" t="s">
        <v>947</v>
      </c>
      <c r="AD204" s="5"/>
      <c r="AF204" s="15" t="s">
        <v>944</v>
      </c>
      <c r="AG204" s="15" t="s">
        <v>946</v>
      </c>
      <c r="AH204">
        <f t="shared" ref="AH204:AH211" si="148">100-((H204-MIN($H$204:$H$211))/(MAX($H$204:$H$211)-MIN($H$204:$H$211))*100)</f>
        <v>55.555555555555564</v>
      </c>
      <c r="AI204">
        <f t="shared" si="134"/>
        <v>90</v>
      </c>
      <c r="AJ204" s="12">
        <f t="shared" si="135"/>
        <v>98</v>
      </c>
      <c r="AK204">
        <f t="shared" si="136"/>
        <v>99</v>
      </c>
      <c r="AL204">
        <f t="shared" si="137"/>
        <v>65</v>
      </c>
      <c r="AM204">
        <f t="shared" si="138"/>
        <v>97</v>
      </c>
      <c r="AN204">
        <f t="shared" si="132"/>
        <v>80.000160000319994</v>
      </c>
      <c r="AO204">
        <f t="shared" si="139"/>
        <v>98</v>
      </c>
      <c r="AP204">
        <f t="shared" si="140"/>
        <v>81.648893688898468</v>
      </c>
      <c r="AQ204">
        <f>RANK(AP204, $AP$204:$AP$211, 0)</f>
        <v>1</v>
      </c>
      <c r="AR204" t="str">
        <f t="shared" si="141"/>
        <v>FOIL-001</v>
      </c>
      <c r="AS204" s="15" t="s">
        <v>944</v>
      </c>
      <c r="AT204" s="15" t="s">
        <v>946</v>
      </c>
      <c r="AU204">
        <f t="shared" ref="AU204:AU211" si="149">100-((H204-MIN($H$204:$H$211))/(MAX($H$204:$H$211)-MIN($H$204:$H$211))*100)</f>
        <v>55.555555555555564</v>
      </c>
      <c r="AV204">
        <f t="shared" si="142"/>
        <v>65</v>
      </c>
      <c r="AW204">
        <f t="shared" si="143"/>
        <v>99</v>
      </c>
      <c r="AX204">
        <f t="shared" si="144"/>
        <v>90</v>
      </c>
      <c r="AY204">
        <f t="shared" si="133"/>
        <v>80.000160000319994</v>
      </c>
      <c r="AZ204">
        <f t="shared" si="145"/>
        <v>97</v>
      </c>
      <c r="BA204">
        <f t="shared" si="146"/>
        <v>75.066674666682658</v>
      </c>
      <c r="BB204">
        <f>RANK(BA204, $BA$204:$BA$211, 0)</f>
        <v>1</v>
      </c>
      <c r="BC204" t="str">
        <f t="shared" si="147"/>
        <v>FOIL-001</v>
      </c>
    </row>
    <row r="205" spans="2:55" ht="39.6" x14ac:dyDescent="0.3">
      <c r="B205" s="5" t="s">
        <v>731</v>
      </c>
      <c r="C205" s="15" t="s">
        <v>944</v>
      </c>
      <c r="D205" s="5" t="s">
        <v>948</v>
      </c>
      <c r="E205" s="5" t="s">
        <v>949</v>
      </c>
      <c r="F205" s="5" t="s">
        <v>524</v>
      </c>
      <c r="G205" s="5">
        <v>30</v>
      </c>
      <c r="H205" s="5">
        <v>0.55000000000000004</v>
      </c>
      <c r="I205" s="5">
        <v>200000</v>
      </c>
      <c r="J205" s="5">
        <v>110000</v>
      </c>
      <c r="K205" s="5">
        <v>10</v>
      </c>
      <c r="L205" s="5">
        <v>5</v>
      </c>
      <c r="M205" s="5">
        <v>0.15</v>
      </c>
      <c r="N205" s="5">
        <v>98</v>
      </c>
      <c r="O205" s="5">
        <v>60</v>
      </c>
      <c r="P205" s="5" t="s">
        <v>871</v>
      </c>
      <c r="Q205" s="5">
        <v>8.5</v>
      </c>
      <c r="R205" s="5">
        <v>9.6999999999999993</v>
      </c>
      <c r="S205" s="5" t="s">
        <v>52</v>
      </c>
      <c r="T205" s="5">
        <v>8</v>
      </c>
      <c r="U205" s="5" t="s">
        <v>53</v>
      </c>
      <c r="V205" s="5" t="s">
        <v>46</v>
      </c>
      <c r="W205" s="5">
        <v>2</v>
      </c>
      <c r="X205" s="5" t="s">
        <v>38</v>
      </c>
      <c r="Y205" s="5">
        <v>35</v>
      </c>
      <c r="Z205" s="5">
        <v>9.5</v>
      </c>
      <c r="AA205" s="5" t="s">
        <v>950</v>
      </c>
      <c r="AB205" s="5" t="s">
        <v>862</v>
      </c>
      <c r="AC205" s="5" t="s">
        <v>951</v>
      </c>
      <c r="AD205" s="5"/>
      <c r="AF205" s="15" t="s">
        <v>944</v>
      </c>
      <c r="AG205" s="15" t="s">
        <v>949</v>
      </c>
      <c r="AH205">
        <f t="shared" si="148"/>
        <v>66.666666666666657</v>
      </c>
      <c r="AI205">
        <f t="shared" si="134"/>
        <v>85</v>
      </c>
      <c r="AJ205" s="12">
        <f t="shared" si="135"/>
        <v>97</v>
      </c>
      <c r="AK205">
        <f t="shared" si="136"/>
        <v>98</v>
      </c>
      <c r="AL205">
        <f t="shared" si="137"/>
        <v>50</v>
      </c>
      <c r="AM205">
        <f t="shared" si="138"/>
        <v>94</v>
      </c>
      <c r="AN205">
        <f t="shared" si="132"/>
        <v>60.000120000239995</v>
      </c>
      <c r="AO205">
        <f t="shared" si="139"/>
        <v>95</v>
      </c>
      <c r="AP205">
        <f t="shared" si="140"/>
        <v>80.566670266673867</v>
      </c>
      <c r="AQ205">
        <f t="shared" ref="AQ205:AQ211" si="150">RANK(AP205, $AP$204:$AP$211, 0)</f>
        <v>2</v>
      </c>
      <c r="AR205" t="str">
        <f t="shared" si="141"/>
        <v>FOIL-002</v>
      </c>
      <c r="AS205" s="15" t="s">
        <v>944</v>
      </c>
      <c r="AT205" s="15" t="s">
        <v>949</v>
      </c>
      <c r="AU205">
        <f t="shared" si="149"/>
        <v>66.666666666666657</v>
      </c>
      <c r="AV205">
        <f t="shared" si="142"/>
        <v>50</v>
      </c>
      <c r="AW205">
        <f t="shared" si="143"/>
        <v>98</v>
      </c>
      <c r="AX205">
        <f t="shared" si="144"/>
        <v>85</v>
      </c>
      <c r="AY205">
        <f t="shared" si="133"/>
        <v>60.000120000239995</v>
      </c>
      <c r="AZ205">
        <f t="shared" si="145"/>
        <v>94</v>
      </c>
      <c r="BA205">
        <f t="shared" si="146"/>
        <v>72.550006000012004</v>
      </c>
      <c r="BB205">
        <f t="shared" ref="BB205:BB211" si="151">RANK(BA205, $BA$204:$BA$211, 0)</f>
        <v>2</v>
      </c>
      <c r="BC205" t="str">
        <f t="shared" si="147"/>
        <v>FOIL-002</v>
      </c>
    </row>
    <row r="206" spans="2:55" ht="39.6" x14ac:dyDescent="0.3">
      <c r="B206" s="5" t="s">
        <v>731</v>
      </c>
      <c r="C206" s="15" t="s">
        <v>944</v>
      </c>
      <c r="D206" s="5" t="s">
        <v>952</v>
      </c>
      <c r="E206" s="5" t="s">
        <v>953</v>
      </c>
      <c r="F206" s="5" t="s">
        <v>223</v>
      </c>
      <c r="G206" s="5">
        <v>40</v>
      </c>
      <c r="H206" s="5">
        <v>0.7</v>
      </c>
      <c r="I206" s="5">
        <v>50000</v>
      </c>
      <c r="J206" s="5">
        <v>35000</v>
      </c>
      <c r="K206" s="5">
        <v>5</v>
      </c>
      <c r="L206" s="5">
        <v>2</v>
      </c>
      <c r="M206" s="5">
        <v>0.08</v>
      </c>
      <c r="N206" s="5">
        <v>99</v>
      </c>
      <c r="O206" s="5">
        <v>30</v>
      </c>
      <c r="P206" s="5" t="s">
        <v>834</v>
      </c>
      <c r="Q206" s="5">
        <v>9.5</v>
      </c>
      <c r="R206" s="5">
        <v>9.9</v>
      </c>
      <c r="S206" s="5" t="s">
        <v>404</v>
      </c>
      <c r="T206" s="5">
        <v>9.1999999999999993</v>
      </c>
      <c r="U206" s="5" t="s">
        <v>36</v>
      </c>
      <c r="V206" s="5" t="s">
        <v>37</v>
      </c>
      <c r="W206" s="5">
        <v>1</v>
      </c>
      <c r="X206" s="5" t="s">
        <v>38</v>
      </c>
      <c r="Y206" s="5">
        <v>20</v>
      </c>
      <c r="Z206" s="5">
        <v>9.9</v>
      </c>
      <c r="AA206" s="5" t="s">
        <v>861</v>
      </c>
      <c r="AB206" s="5" t="s">
        <v>830</v>
      </c>
      <c r="AC206" s="5" t="s">
        <v>954</v>
      </c>
      <c r="AD206" s="5"/>
      <c r="AF206" s="15" t="s">
        <v>944</v>
      </c>
      <c r="AG206" s="15" t="s">
        <v>953</v>
      </c>
      <c r="AH206">
        <f t="shared" si="148"/>
        <v>33.333333333333343</v>
      </c>
      <c r="AI206">
        <f t="shared" si="134"/>
        <v>95</v>
      </c>
      <c r="AJ206" s="12">
        <f t="shared" si="135"/>
        <v>98.4</v>
      </c>
      <c r="AK206">
        <f t="shared" si="136"/>
        <v>99</v>
      </c>
      <c r="AL206">
        <f t="shared" si="137"/>
        <v>75</v>
      </c>
      <c r="AM206">
        <f t="shared" si="138"/>
        <v>92</v>
      </c>
      <c r="AN206">
        <f t="shared" si="132"/>
        <v>90.000180000360004</v>
      </c>
      <c r="AO206">
        <f t="shared" si="139"/>
        <v>99</v>
      </c>
      <c r="AP206">
        <f t="shared" si="140"/>
        <v>78.473338733344121</v>
      </c>
      <c r="AQ206">
        <f t="shared" si="150"/>
        <v>3</v>
      </c>
      <c r="AR206" t="str">
        <f t="shared" si="141"/>
        <v>FOIL-003</v>
      </c>
      <c r="AS206" s="15" t="s">
        <v>944</v>
      </c>
      <c r="AT206" s="15" t="s">
        <v>953</v>
      </c>
      <c r="AU206">
        <f t="shared" si="149"/>
        <v>33.333333333333343</v>
      </c>
      <c r="AV206">
        <f t="shared" si="142"/>
        <v>75</v>
      </c>
      <c r="AW206">
        <f t="shared" si="143"/>
        <v>99</v>
      </c>
      <c r="AX206">
        <f t="shared" si="144"/>
        <v>95</v>
      </c>
      <c r="AY206">
        <f t="shared" si="133"/>
        <v>90.000180000360004</v>
      </c>
      <c r="AZ206">
        <f t="shared" si="145"/>
        <v>92</v>
      </c>
      <c r="BA206">
        <f t="shared" si="146"/>
        <v>71.900009000017988</v>
      </c>
      <c r="BB206">
        <f t="shared" si="151"/>
        <v>3</v>
      </c>
      <c r="BC206" t="str">
        <f t="shared" si="147"/>
        <v>FOIL-003</v>
      </c>
    </row>
    <row r="207" spans="2:55" ht="52.8" x14ac:dyDescent="0.3">
      <c r="B207" s="5" t="s">
        <v>731</v>
      </c>
      <c r="C207" s="15" t="s">
        <v>944</v>
      </c>
      <c r="D207" s="5" t="s">
        <v>955</v>
      </c>
      <c r="E207" s="5" t="s">
        <v>956</v>
      </c>
      <c r="F207" s="5" t="s">
        <v>78</v>
      </c>
      <c r="G207" s="5">
        <v>1400</v>
      </c>
      <c r="H207" s="5">
        <v>0.4</v>
      </c>
      <c r="I207" s="5">
        <v>500000</v>
      </c>
      <c r="J207" s="5">
        <v>200000</v>
      </c>
      <c r="K207" s="5">
        <v>14</v>
      </c>
      <c r="L207" s="5">
        <v>7</v>
      </c>
      <c r="M207" s="5">
        <v>0.25</v>
      </c>
      <c r="N207" s="5">
        <v>90</v>
      </c>
      <c r="O207" s="5">
        <v>90</v>
      </c>
      <c r="P207" s="5" t="s">
        <v>880</v>
      </c>
      <c r="Q207" s="5">
        <v>7.5</v>
      </c>
      <c r="R207" s="5">
        <v>8.5</v>
      </c>
      <c r="S207" s="5" t="s">
        <v>54</v>
      </c>
      <c r="T207" s="5">
        <v>6.5</v>
      </c>
      <c r="U207" s="5" t="s">
        <v>174</v>
      </c>
      <c r="V207" s="5" t="s">
        <v>54</v>
      </c>
      <c r="W207" s="5">
        <v>3</v>
      </c>
      <c r="X207" s="5" t="s">
        <v>68</v>
      </c>
      <c r="Y207" s="5">
        <v>15</v>
      </c>
      <c r="Z207" s="5">
        <v>7</v>
      </c>
      <c r="AA207" s="5" t="s">
        <v>54</v>
      </c>
      <c r="AB207" s="5" t="s">
        <v>846</v>
      </c>
      <c r="AC207" s="5" t="s">
        <v>847</v>
      </c>
      <c r="AD207" s="5"/>
      <c r="AF207" s="15" t="s">
        <v>944</v>
      </c>
      <c r="AG207" s="15" t="s">
        <v>956</v>
      </c>
      <c r="AH207">
        <f t="shared" si="148"/>
        <v>100</v>
      </c>
      <c r="AI207">
        <f t="shared" si="134"/>
        <v>75</v>
      </c>
      <c r="AJ207" s="12">
        <f t="shared" si="135"/>
        <v>95</v>
      </c>
      <c r="AK207">
        <f t="shared" si="136"/>
        <v>90</v>
      </c>
      <c r="AL207">
        <f t="shared" si="137"/>
        <v>30</v>
      </c>
      <c r="AM207">
        <f t="shared" si="138"/>
        <v>0</v>
      </c>
      <c r="AN207">
        <f t="shared" si="132"/>
        <v>0</v>
      </c>
      <c r="AO207">
        <f t="shared" si="139"/>
        <v>70</v>
      </c>
      <c r="AP207">
        <f t="shared" si="140"/>
        <v>75.900000000000006</v>
      </c>
      <c r="AQ207">
        <f t="shared" si="150"/>
        <v>4</v>
      </c>
      <c r="AR207" t="str">
        <f t="shared" si="141"/>
        <v>FOIL-004</v>
      </c>
      <c r="AS207" s="15" t="s">
        <v>944</v>
      </c>
      <c r="AT207" s="15" t="s">
        <v>956</v>
      </c>
      <c r="AU207">
        <f t="shared" si="149"/>
        <v>100</v>
      </c>
      <c r="AV207">
        <f t="shared" si="142"/>
        <v>30</v>
      </c>
      <c r="AW207">
        <f t="shared" si="143"/>
        <v>90</v>
      </c>
      <c r="AX207">
        <f t="shared" si="144"/>
        <v>75</v>
      </c>
      <c r="AY207">
        <f t="shared" si="133"/>
        <v>0</v>
      </c>
      <c r="AZ207">
        <f t="shared" si="145"/>
        <v>0</v>
      </c>
      <c r="BA207">
        <f t="shared" si="146"/>
        <v>66.75</v>
      </c>
      <c r="BB207">
        <f t="shared" si="151"/>
        <v>4</v>
      </c>
      <c r="BC207" t="str">
        <f t="shared" si="147"/>
        <v>FOIL-004</v>
      </c>
    </row>
    <row r="208" spans="2:55" ht="39.6" x14ac:dyDescent="0.3">
      <c r="B208" s="5" t="s">
        <v>731</v>
      </c>
      <c r="C208" s="15" t="s">
        <v>944</v>
      </c>
      <c r="D208" s="5" t="s">
        <v>957</v>
      </c>
      <c r="E208" s="5" t="s">
        <v>958</v>
      </c>
      <c r="F208" s="5" t="s">
        <v>84</v>
      </c>
      <c r="G208" s="5">
        <v>150</v>
      </c>
      <c r="H208" s="5">
        <v>0.65</v>
      </c>
      <c r="I208" s="5">
        <v>150000</v>
      </c>
      <c r="J208" s="5">
        <v>97500</v>
      </c>
      <c r="K208" s="5">
        <v>10</v>
      </c>
      <c r="L208" s="5">
        <v>5</v>
      </c>
      <c r="M208" s="5">
        <v>0.12</v>
      </c>
      <c r="N208" s="5">
        <v>96</v>
      </c>
      <c r="O208" s="5">
        <v>45</v>
      </c>
      <c r="P208" s="5" t="s">
        <v>892</v>
      </c>
      <c r="Q208" s="5">
        <v>9.1999999999999993</v>
      </c>
      <c r="R208" s="5">
        <v>9.1999999999999993</v>
      </c>
      <c r="S208" s="5" t="s">
        <v>206</v>
      </c>
      <c r="T208" s="5">
        <v>9.1999999999999993</v>
      </c>
      <c r="U208" s="5" t="s">
        <v>53</v>
      </c>
      <c r="V208" s="5" t="s">
        <v>46</v>
      </c>
      <c r="W208" s="5">
        <v>2</v>
      </c>
      <c r="X208" s="5" t="s">
        <v>38</v>
      </c>
      <c r="Y208" s="5">
        <v>30</v>
      </c>
      <c r="Z208" s="5">
        <v>9.1999999999999993</v>
      </c>
      <c r="AA208" s="5" t="s">
        <v>904</v>
      </c>
      <c r="AB208" s="5" t="s">
        <v>959</v>
      </c>
      <c r="AC208" s="5" t="s">
        <v>960</v>
      </c>
      <c r="AD208" s="5"/>
      <c r="AF208" s="15" t="s">
        <v>944</v>
      </c>
      <c r="AG208" s="15" t="s">
        <v>958</v>
      </c>
      <c r="AH208">
        <f t="shared" si="148"/>
        <v>44.444444444444443</v>
      </c>
      <c r="AI208">
        <f t="shared" si="134"/>
        <v>92</v>
      </c>
      <c r="AJ208" s="12">
        <f t="shared" si="135"/>
        <v>97.6</v>
      </c>
      <c r="AK208">
        <f t="shared" si="136"/>
        <v>96</v>
      </c>
      <c r="AL208">
        <f t="shared" si="137"/>
        <v>50</v>
      </c>
      <c r="AM208">
        <f t="shared" si="138"/>
        <v>70</v>
      </c>
      <c r="AN208">
        <f t="shared" si="132"/>
        <v>70.000140000279998</v>
      </c>
      <c r="AO208">
        <f t="shared" si="139"/>
        <v>92</v>
      </c>
      <c r="AP208">
        <f t="shared" si="140"/>
        <v>75.591115311119509</v>
      </c>
      <c r="AQ208">
        <f t="shared" si="150"/>
        <v>5</v>
      </c>
      <c r="AR208" t="str">
        <f t="shared" si="141"/>
        <v>FOIL-005</v>
      </c>
      <c r="AS208" s="15" t="s">
        <v>944</v>
      </c>
      <c r="AT208" s="15" t="s">
        <v>958</v>
      </c>
      <c r="AU208">
        <f t="shared" si="149"/>
        <v>44.444444444444443</v>
      </c>
      <c r="AV208">
        <f t="shared" si="142"/>
        <v>50</v>
      </c>
      <c r="AW208">
        <f t="shared" si="143"/>
        <v>96</v>
      </c>
      <c r="AX208">
        <f t="shared" si="144"/>
        <v>92</v>
      </c>
      <c r="AY208">
        <f t="shared" si="133"/>
        <v>70.000140000279998</v>
      </c>
      <c r="AZ208">
        <f t="shared" si="145"/>
        <v>70</v>
      </c>
      <c r="BA208">
        <f t="shared" si="146"/>
        <v>65.833340333347337</v>
      </c>
      <c r="BB208">
        <f t="shared" si="151"/>
        <v>5</v>
      </c>
      <c r="BC208" t="str">
        <f t="shared" si="147"/>
        <v>FOIL-005</v>
      </c>
    </row>
    <row r="209" spans="2:55" ht="39.6" x14ac:dyDescent="0.3">
      <c r="B209" s="5" t="s">
        <v>731</v>
      </c>
      <c r="C209" s="15" t="s">
        <v>944</v>
      </c>
      <c r="D209" s="5" t="s">
        <v>961</v>
      </c>
      <c r="E209" s="5" t="s">
        <v>962</v>
      </c>
      <c r="F209" s="5" t="s">
        <v>33</v>
      </c>
      <c r="G209" s="5">
        <v>65</v>
      </c>
      <c r="H209" s="5">
        <v>0.75</v>
      </c>
      <c r="I209" s="5">
        <v>80000</v>
      </c>
      <c r="J209" s="5">
        <v>60000</v>
      </c>
      <c r="K209" s="5">
        <v>14</v>
      </c>
      <c r="L209" s="5">
        <v>7</v>
      </c>
      <c r="M209" s="5">
        <v>0.09</v>
      </c>
      <c r="N209" s="5">
        <v>97</v>
      </c>
      <c r="O209" s="5">
        <v>60</v>
      </c>
      <c r="P209" s="5" t="s">
        <v>903</v>
      </c>
      <c r="Q209" s="5">
        <v>8.8000000000000007</v>
      </c>
      <c r="R209" s="5">
        <v>9.6</v>
      </c>
      <c r="S209" s="5" t="s">
        <v>67</v>
      </c>
      <c r="T209" s="5">
        <v>8.8000000000000007</v>
      </c>
      <c r="U209" s="5" t="s">
        <v>53</v>
      </c>
      <c r="V209" s="5" t="s">
        <v>37</v>
      </c>
      <c r="W209" s="5">
        <v>2</v>
      </c>
      <c r="X209" s="5" t="s">
        <v>38</v>
      </c>
      <c r="Y209" s="5">
        <v>40</v>
      </c>
      <c r="Z209" s="5">
        <v>9.6</v>
      </c>
      <c r="AA209" s="5" t="s">
        <v>963</v>
      </c>
      <c r="AB209" s="5" t="s">
        <v>855</v>
      </c>
      <c r="AC209" s="5" t="s">
        <v>851</v>
      </c>
      <c r="AD209" s="5"/>
      <c r="AF209" s="15" t="s">
        <v>944</v>
      </c>
      <c r="AG209" s="15" t="s">
        <v>962</v>
      </c>
      <c r="AH209">
        <f t="shared" si="148"/>
        <v>22.222222222222214</v>
      </c>
      <c r="AI209">
        <f t="shared" si="134"/>
        <v>88</v>
      </c>
      <c r="AJ209" s="12">
        <f t="shared" si="135"/>
        <v>98.2</v>
      </c>
      <c r="AK209">
        <f t="shared" si="136"/>
        <v>97</v>
      </c>
      <c r="AL209">
        <f t="shared" si="137"/>
        <v>30</v>
      </c>
      <c r="AM209">
        <f t="shared" si="138"/>
        <v>87</v>
      </c>
      <c r="AN209">
        <f t="shared" si="132"/>
        <v>84.000168000336004</v>
      </c>
      <c r="AO209">
        <f t="shared" si="139"/>
        <v>96</v>
      </c>
      <c r="AP209">
        <f t="shared" si="140"/>
        <v>68.625560595565631</v>
      </c>
      <c r="AQ209">
        <f t="shared" si="150"/>
        <v>7</v>
      </c>
      <c r="AR209" t="str">
        <f t="shared" si="141"/>
        <v>FOIL-006</v>
      </c>
      <c r="AS209" s="15" t="s">
        <v>944</v>
      </c>
      <c r="AT209" s="15" t="s">
        <v>962</v>
      </c>
      <c r="AU209">
        <f t="shared" si="149"/>
        <v>22.222222222222214</v>
      </c>
      <c r="AV209">
        <f t="shared" si="142"/>
        <v>30</v>
      </c>
      <c r="AW209">
        <f t="shared" si="143"/>
        <v>97</v>
      </c>
      <c r="AX209">
        <f t="shared" si="144"/>
        <v>88</v>
      </c>
      <c r="AY209">
        <f t="shared" si="133"/>
        <v>84.000168000336004</v>
      </c>
      <c r="AZ209">
        <f t="shared" si="145"/>
        <v>87</v>
      </c>
      <c r="BA209">
        <f t="shared" si="146"/>
        <v>55.316675066683466</v>
      </c>
      <c r="BB209">
        <f t="shared" si="151"/>
        <v>7</v>
      </c>
      <c r="BC209" t="str">
        <f t="shared" si="147"/>
        <v>FOIL-006</v>
      </c>
    </row>
    <row r="210" spans="2:55" ht="39.6" x14ac:dyDescent="0.3">
      <c r="B210" s="5" t="s">
        <v>731</v>
      </c>
      <c r="C210" s="15" t="s">
        <v>944</v>
      </c>
      <c r="D210" s="5" t="s">
        <v>964</v>
      </c>
      <c r="E210" s="5" t="s">
        <v>965</v>
      </c>
      <c r="F210" s="5" t="s">
        <v>72</v>
      </c>
      <c r="G210" s="5">
        <v>20</v>
      </c>
      <c r="H210" s="5">
        <v>0.8</v>
      </c>
      <c r="I210" s="5">
        <v>60000</v>
      </c>
      <c r="J210" s="5">
        <v>48000</v>
      </c>
      <c r="K210" s="5">
        <v>7</v>
      </c>
      <c r="L210" s="5">
        <v>3</v>
      </c>
      <c r="M210" s="5">
        <v>0.1</v>
      </c>
      <c r="N210" s="5">
        <v>98</v>
      </c>
      <c r="O210" s="5">
        <v>30</v>
      </c>
      <c r="P210" s="5" t="s">
        <v>966</v>
      </c>
      <c r="Q210" s="5">
        <v>9.3000000000000007</v>
      </c>
      <c r="R210" s="5">
        <v>9.4</v>
      </c>
      <c r="S210" s="5" t="s">
        <v>967</v>
      </c>
      <c r="T210" s="5">
        <v>9.3000000000000007</v>
      </c>
      <c r="U210" s="5" t="s">
        <v>53</v>
      </c>
      <c r="V210" s="5" t="s">
        <v>54</v>
      </c>
      <c r="W210" s="5">
        <v>1</v>
      </c>
      <c r="X210" s="5" t="s">
        <v>38</v>
      </c>
      <c r="Y210" s="5">
        <v>28</v>
      </c>
      <c r="Z210" s="5">
        <v>9.4</v>
      </c>
      <c r="AA210" s="5" t="s">
        <v>905</v>
      </c>
      <c r="AB210" s="5" t="s">
        <v>968</v>
      </c>
      <c r="AC210" s="5" t="s">
        <v>969</v>
      </c>
      <c r="AD210" s="5"/>
      <c r="AF210" s="15" t="s">
        <v>944</v>
      </c>
      <c r="AG210" s="15" t="s">
        <v>965</v>
      </c>
      <c r="AH210">
        <f t="shared" si="148"/>
        <v>11.1111111111111</v>
      </c>
      <c r="AI210">
        <f t="shared" si="134"/>
        <v>93</v>
      </c>
      <c r="AJ210" s="12">
        <f t="shared" si="135"/>
        <v>98</v>
      </c>
      <c r="AK210">
        <f t="shared" si="136"/>
        <v>98</v>
      </c>
      <c r="AL210">
        <f t="shared" si="137"/>
        <v>65</v>
      </c>
      <c r="AM210">
        <f t="shared" si="138"/>
        <v>96</v>
      </c>
      <c r="AN210">
        <f t="shared" si="132"/>
        <v>88.000176000351999</v>
      </c>
      <c r="AO210">
        <f t="shared" si="139"/>
        <v>94</v>
      </c>
      <c r="AP210">
        <f t="shared" si="140"/>
        <v>71.247783057788325</v>
      </c>
      <c r="AQ210">
        <f t="shared" si="150"/>
        <v>6</v>
      </c>
      <c r="AR210" t="str">
        <f t="shared" si="141"/>
        <v>FOIL-007</v>
      </c>
      <c r="AS210" s="15" t="s">
        <v>944</v>
      </c>
      <c r="AT210" s="15" t="s">
        <v>965</v>
      </c>
      <c r="AU210">
        <f t="shared" si="149"/>
        <v>11.1111111111111</v>
      </c>
      <c r="AV210">
        <f t="shared" si="142"/>
        <v>65</v>
      </c>
      <c r="AW210">
        <f t="shared" si="143"/>
        <v>98</v>
      </c>
      <c r="AX210">
        <f t="shared" si="144"/>
        <v>93</v>
      </c>
      <c r="AY210">
        <f t="shared" si="133"/>
        <v>88.000176000351999</v>
      </c>
      <c r="AZ210">
        <f t="shared" si="145"/>
        <v>96</v>
      </c>
      <c r="BA210">
        <f t="shared" si="146"/>
        <v>62.333342133350925</v>
      </c>
      <c r="BB210">
        <f t="shared" si="151"/>
        <v>6</v>
      </c>
      <c r="BC210" t="str">
        <f t="shared" si="147"/>
        <v>FOIL-007</v>
      </c>
    </row>
    <row r="211" spans="2:55" ht="39.6" x14ac:dyDescent="0.3">
      <c r="B211" s="5" t="s">
        <v>731</v>
      </c>
      <c r="C211" s="15" t="s">
        <v>944</v>
      </c>
      <c r="D211" s="5" t="s">
        <v>970</v>
      </c>
      <c r="E211" s="5" t="s">
        <v>971</v>
      </c>
      <c r="F211" s="5" t="s">
        <v>59</v>
      </c>
      <c r="G211" s="5">
        <v>200</v>
      </c>
      <c r="H211" s="5">
        <v>0.85</v>
      </c>
      <c r="I211" s="5">
        <v>40000</v>
      </c>
      <c r="J211" s="5">
        <v>34000</v>
      </c>
      <c r="K211" s="5">
        <v>10</v>
      </c>
      <c r="L211" s="5">
        <v>5</v>
      </c>
      <c r="M211" s="5">
        <v>7.0000000000000007E-2</v>
      </c>
      <c r="N211" s="5">
        <v>95</v>
      </c>
      <c r="O211" s="5">
        <v>45</v>
      </c>
      <c r="P211" s="5" t="s">
        <v>799</v>
      </c>
      <c r="Q211" s="5">
        <v>9.5</v>
      </c>
      <c r="R211" s="5">
        <v>9.1</v>
      </c>
      <c r="S211" s="5" t="s">
        <v>972</v>
      </c>
      <c r="T211" s="5">
        <v>9.8000000000000007</v>
      </c>
      <c r="U211" s="5" t="s">
        <v>53</v>
      </c>
      <c r="V211" s="5" t="s">
        <v>54</v>
      </c>
      <c r="W211" s="5">
        <v>2</v>
      </c>
      <c r="X211" s="5" t="s">
        <v>38</v>
      </c>
      <c r="Y211" s="5">
        <v>32</v>
      </c>
      <c r="Z211" s="5">
        <v>9.1</v>
      </c>
      <c r="AA211" s="5" t="s">
        <v>805</v>
      </c>
      <c r="AB211" s="5" t="s">
        <v>973</v>
      </c>
      <c r="AC211" s="5" t="s">
        <v>974</v>
      </c>
      <c r="AD211" s="5"/>
      <c r="AF211" s="15" t="s">
        <v>944</v>
      </c>
      <c r="AG211" s="15" t="s">
        <v>971</v>
      </c>
      <c r="AH211">
        <f t="shared" si="148"/>
        <v>0</v>
      </c>
      <c r="AI211">
        <f t="shared" si="134"/>
        <v>95</v>
      </c>
      <c r="AJ211" s="12">
        <f t="shared" si="135"/>
        <v>98.6</v>
      </c>
      <c r="AK211">
        <f t="shared" si="136"/>
        <v>95</v>
      </c>
      <c r="AL211">
        <f t="shared" si="137"/>
        <v>50</v>
      </c>
      <c r="AM211">
        <f t="shared" si="138"/>
        <v>60</v>
      </c>
      <c r="AN211">
        <f t="shared" si="132"/>
        <v>92.000184000367994</v>
      </c>
      <c r="AO211">
        <f t="shared" si="139"/>
        <v>91</v>
      </c>
      <c r="AP211">
        <f t="shared" si="140"/>
        <v>65.370005520011034</v>
      </c>
      <c r="AQ211">
        <f t="shared" si="150"/>
        <v>8</v>
      </c>
      <c r="AR211" t="str">
        <f t="shared" si="141"/>
        <v>FOIL-008</v>
      </c>
      <c r="AS211" s="15" t="s">
        <v>944</v>
      </c>
      <c r="AT211" s="15" t="s">
        <v>971</v>
      </c>
      <c r="AU211">
        <f t="shared" si="149"/>
        <v>0</v>
      </c>
      <c r="AV211">
        <f t="shared" si="142"/>
        <v>50</v>
      </c>
      <c r="AW211">
        <f t="shared" si="143"/>
        <v>95</v>
      </c>
      <c r="AX211">
        <f t="shared" si="144"/>
        <v>95</v>
      </c>
      <c r="AY211">
        <f t="shared" si="133"/>
        <v>92.000184000367994</v>
      </c>
      <c r="AZ211">
        <f t="shared" si="145"/>
        <v>60</v>
      </c>
      <c r="BA211">
        <f t="shared" si="146"/>
        <v>53.350009200018398</v>
      </c>
      <c r="BB211">
        <f t="shared" si="151"/>
        <v>8</v>
      </c>
      <c r="BC211" t="str">
        <f t="shared" si="147"/>
        <v>FOIL-008</v>
      </c>
    </row>
    <row r="212" spans="2:55" ht="39.6" x14ac:dyDescent="0.3">
      <c r="B212" s="5" t="s">
        <v>731</v>
      </c>
      <c r="C212" s="15" t="s">
        <v>975</v>
      </c>
      <c r="D212" s="5" t="s">
        <v>976</v>
      </c>
      <c r="E212" s="5" t="s">
        <v>975</v>
      </c>
      <c r="F212" s="5" t="s">
        <v>50</v>
      </c>
      <c r="G212" s="5">
        <v>150</v>
      </c>
      <c r="H212" s="5">
        <v>1.5</v>
      </c>
      <c r="I212" s="5">
        <v>50000</v>
      </c>
      <c r="J212" s="5">
        <v>75000</v>
      </c>
      <c r="K212" s="5">
        <v>21</v>
      </c>
      <c r="L212" s="5">
        <v>10</v>
      </c>
      <c r="M212" s="5">
        <v>0.1</v>
      </c>
      <c r="N212" s="5">
        <v>95</v>
      </c>
      <c r="O212" s="5" t="s">
        <v>154</v>
      </c>
      <c r="P212" s="5" t="s">
        <v>771</v>
      </c>
      <c r="Q212" s="5">
        <v>9.1999999999999993</v>
      </c>
      <c r="R212" s="5">
        <v>8.5</v>
      </c>
      <c r="S212" s="5" t="s">
        <v>67</v>
      </c>
      <c r="T212" s="5">
        <v>8.8000000000000007</v>
      </c>
      <c r="U212" s="5" t="s">
        <v>36</v>
      </c>
      <c r="V212" s="5" t="s">
        <v>37</v>
      </c>
      <c r="W212" s="5">
        <v>1</v>
      </c>
      <c r="X212" s="5" t="s">
        <v>38</v>
      </c>
      <c r="Y212" s="5">
        <v>90</v>
      </c>
      <c r="Z212" s="5">
        <v>8</v>
      </c>
      <c r="AA212" s="5" t="s">
        <v>47</v>
      </c>
      <c r="AB212" s="5" t="s">
        <v>868</v>
      </c>
      <c r="AC212" s="5" t="s">
        <v>977</v>
      </c>
      <c r="AD212" s="5"/>
      <c r="AF212" s="15" t="s">
        <v>975</v>
      </c>
      <c r="AG212" s="15" t="s">
        <v>975</v>
      </c>
      <c r="AH212">
        <f t="shared" ref="AH212:AH219" si="152">100-((H212-MIN($H$212:$H$219))/(MAX($H$212:$H$219)-MIN($H$212:$H$219))*100)</f>
        <v>70</v>
      </c>
      <c r="AI212">
        <f t="shared" si="134"/>
        <v>92</v>
      </c>
      <c r="AJ212" s="12">
        <f t="shared" si="135"/>
        <v>98</v>
      </c>
      <c r="AK212">
        <f t="shared" si="136"/>
        <v>95</v>
      </c>
      <c r="AL212">
        <f t="shared" si="137"/>
        <v>0</v>
      </c>
      <c r="AM212">
        <f t="shared" si="138"/>
        <v>70</v>
      </c>
      <c r="AN212">
        <f t="shared" si="132"/>
        <v>90.000180000360004</v>
      </c>
      <c r="AO212">
        <f t="shared" si="139"/>
        <v>80</v>
      </c>
      <c r="AP212">
        <f t="shared" si="140"/>
        <v>77.250005400010792</v>
      </c>
      <c r="AQ212">
        <f>RANK(AP212, $AP$212:$AP$219, 0)</f>
        <v>1</v>
      </c>
      <c r="AR212" t="str">
        <f t="shared" si="141"/>
        <v>SEAL-001</v>
      </c>
      <c r="AS212" s="15" t="s">
        <v>975</v>
      </c>
      <c r="AT212" s="15" t="s">
        <v>975</v>
      </c>
      <c r="AU212">
        <f t="shared" ref="AU212:AU219" si="153">100-((H212-MIN($H$212:$H$219))/(MAX($H$212:$H$219)-MIN($H$212:$H$219))*100)</f>
        <v>70</v>
      </c>
      <c r="AV212">
        <f t="shared" si="142"/>
        <v>0</v>
      </c>
      <c r="AW212">
        <f t="shared" si="143"/>
        <v>95</v>
      </c>
      <c r="AX212">
        <f t="shared" si="144"/>
        <v>92</v>
      </c>
      <c r="AY212">
        <f t="shared" si="133"/>
        <v>90.000180000360004</v>
      </c>
      <c r="AZ212">
        <f t="shared" si="145"/>
        <v>70</v>
      </c>
      <c r="BA212">
        <f t="shared" si="146"/>
        <v>61.800009000017994</v>
      </c>
      <c r="BB212">
        <f>RANK(BA212, $BA$212:$BA$219, 0)</f>
        <v>3</v>
      </c>
      <c r="BC212" t="str">
        <f t="shared" si="147"/>
        <v>SEAL-001</v>
      </c>
    </row>
    <row r="213" spans="2:55" ht="39.6" x14ac:dyDescent="0.3">
      <c r="B213" s="5" t="s">
        <v>731</v>
      </c>
      <c r="C213" s="15" t="s">
        <v>975</v>
      </c>
      <c r="D213" s="5" t="s">
        <v>978</v>
      </c>
      <c r="E213" s="5" t="s">
        <v>979</v>
      </c>
      <c r="F213" s="5" t="s">
        <v>72</v>
      </c>
      <c r="G213" s="5">
        <v>20</v>
      </c>
      <c r="H213" s="5">
        <v>1.8</v>
      </c>
      <c r="I213" s="5">
        <v>25000</v>
      </c>
      <c r="J213" s="5">
        <v>45000</v>
      </c>
      <c r="K213" s="5">
        <v>14</v>
      </c>
      <c r="L213" s="5">
        <v>7</v>
      </c>
      <c r="M213" s="5">
        <v>0.2</v>
      </c>
      <c r="N213" s="5">
        <v>97</v>
      </c>
      <c r="O213" s="5">
        <v>30</v>
      </c>
      <c r="P213" s="5" t="s">
        <v>753</v>
      </c>
      <c r="Q213" s="5">
        <v>8.5</v>
      </c>
      <c r="R213" s="5">
        <v>9.4</v>
      </c>
      <c r="S213" s="5" t="s">
        <v>74</v>
      </c>
      <c r="T213" s="5">
        <v>8.5</v>
      </c>
      <c r="U213" s="5" t="s">
        <v>53</v>
      </c>
      <c r="V213" s="5" t="s">
        <v>46</v>
      </c>
      <c r="W213" s="5">
        <v>2</v>
      </c>
      <c r="X213" s="5" t="s">
        <v>38</v>
      </c>
      <c r="Y213" s="5">
        <v>60</v>
      </c>
      <c r="Z213" s="5">
        <v>9.4</v>
      </c>
      <c r="AA213" s="5" t="s">
        <v>980</v>
      </c>
      <c r="AB213" s="5" t="s">
        <v>981</v>
      </c>
      <c r="AC213" s="5" t="s">
        <v>982</v>
      </c>
      <c r="AD213" s="5"/>
      <c r="AF213" s="15" t="s">
        <v>975</v>
      </c>
      <c r="AG213" s="15" t="s">
        <v>979</v>
      </c>
      <c r="AH213">
        <f t="shared" si="152"/>
        <v>40</v>
      </c>
      <c r="AI213">
        <f t="shared" si="134"/>
        <v>85</v>
      </c>
      <c r="AJ213" s="12">
        <f t="shared" si="135"/>
        <v>96</v>
      </c>
      <c r="AK213">
        <f t="shared" si="136"/>
        <v>97</v>
      </c>
      <c r="AL213">
        <f t="shared" si="137"/>
        <v>30</v>
      </c>
      <c r="AM213">
        <f t="shared" si="138"/>
        <v>96</v>
      </c>
      <c r="AN213">
        <f t="shared" si="132"/>
        <v>95.000190000380002</v>
      </c>
      <c r="AO213">
        <f t="shared" si="139"/>
        <v>94</v>
      </c>
      <c r="AP213">
        <f t="shared" si="140"/>
        <v>72.73000570001139</v>
      </c>
      <c r="AQ213">
        <f t="shared" ref="AQ213:AQ219" si="154">RANK(AP213, $AP$212:$AP$219, 0)</f>
        <v>5</v>
      </c>
      <c r="AR213" t="str">
        <f t="shared" si="141"/>
        <v>SEAL-002</v>
      </c>
      <c r="AS213" s="15" t="s">
        <v>975</v>
      </c>
      <c r="AT213" s="15" t="s">
        <v>979</v>
      </c>
      <c r="AU213">
        <f t="shared" si="153"/>
        <v>40</v>
      </c>
      <c r="AV213">
        <f t="shared" si="142"/>
        <v>30</v>
      </c>
      <c r="AW213">
        <f t="shared" si="143"/>
        <v>97</v>
      </c>
      <c r="AX213">
        <f t="shared" si="144"/>
        <v>85</v>
      </c>
      <c r="AY213">
        <f t="shared" si="133"/>
        <v>95.000190000380002</v>
      </c>
      <c r="AZ213">
        <f t="shared" si="145"/>
        <v>96</v>
      </c>
      <c r="BA213">
        <f t="shared" si="146"/>
        <v>61.200009500019007</v>
      </c>
      <c r="BB213">
        <f t="shared" ref="BB213:BB219" si="155">RANK(BA213, $BA$212:$BA$219, 0)</f>
        <v>4</v>
      </c>
      <c r="BC213" t="str">
        <f t="shared" si="147"/>
        <v>SEAL-002</v>
      </c>
    </row>
    <row r="214" spans="2:55" ht="39.6" x14ac:dyDescent="0.3">
      <c r="B214" s="5" t="s">
        <v>731</v>
      </c>
      <c r="C214" s="15" t="s">
        <v>975</v>
      </c>
      <c r="D214" s="5" t="s">
        <v>983</v>
      </c>
      <c r="E214" s="5" t="s">
        <v>984</v>
      </c>
      <c r="F214" s="5" t="s">
        <v>524</v>
      </c>
      <c r="G214" s="5">
        <v>30</v>
      </c>
      <c r="H214" s="5">
        <v>1.6</v>
      </c>
      <c r="I214" s="5">
        <v>100000</v>
      </c>
      <c r="J214" s="5">
        <v>160000</v>
      </c>
      <c r="K214" s="5">
        <v>30</v>
      </c>
      <c r="L214" s="5">
        <v>15</v>
      </c>
      <c r="M214" s="5">
        <v>0.15</v>
      </c>
      <c r="N214" s="5">
        <v>94</v>
      </c>
      <c r="O214" s="5">
        <v>45</v>
      </c>
      <c r="P214" s="5" t="s">
        <v>747</v>
      </c>
      <c r="Q214" s="5">
        <v>8.8000000000000007</v>
      </c>
      <c r="R214" s="5">
        <v>9</v>
      </c>
      <c r="S214" s="5" t="s">
        <v>404</v>
      </c>
      <c r="T214" s="5">
        <v>8.8000000000000007</v>
      </c>
      <c r="U214" s="5" t="s">
        <v>53</v>
      </c>
      <c r="V214" s="5" t="s">
        <v>37</v>
      </c>
      <c r="W214" s="5">
        <v>2</v>
      </c>
      <c r="X214" s="5" t="s">
        <v>38</v>
      </c>
      <c r="Y214" s="5">
        <v>75</v>
      </c>
      <c r="Z214" s="5">
        <v>9</v>
      </c>
      <c r="AA214" s="5" t="s">
        <v>967</v>
      </c>
      <c r="AB214" s="5" t="s">
        <v>985</v>
      </c>
      <c r="AC214" s="5" t="s">
        <v>986</v>
      </c>
      <c r="AD214" s="5"/>
      <c r="AF214" s="15" t="s">
        <v>975</v>
      </c>
      <c r="AG214" s="15" t="s">
        <v>984</v>
      </c>
      <c r="AH214">
        <f t="shared" si="152"/>
        <v>60</v>
      </c>
      <c r="AI214">
        <f t="shared" si="134"/>
        <v>88</v>
      </c>
      <c r="AJ214" s="12">
        <f t="shared" si="135"/>
        <v>97</v>
      </c>
      <c r="AK214">
        <f t="shared" si="136"/>
        <v>94</v>
      </c>
      <c r="AL214">
        <f t="shared" si="137"/>
        <v>0</v>
      </c>
      <c r="AM214">
        <f t="shared" si="138"/>
        <v>94</v>
      </c>
      <c r="AN214">
        <f t="shared" si="132"/>
        <v>80.000160000319994</v>
      </c>
      <c r="AO214">
        <f t="shared" si="139"/>
        <v>90</v>
      </c>
      <c r="AP214">
        <f t="shared" si="140"/>
        <v>74.550004800009589</v>
      </c>
      <c r="AQ214">
        <f t="shared" si="154"/>
        <v>3</v>
      </c>
      <c r="AR214" t="str">
        <f t="shared" si="141"/>
        <v>SEAL-003</v>
      </c>
      <c r="AS214" s="15" t="s">
        <v>975</v>
      </c>
      <c r="AT214" s="15" t="s">
        <v>984</v>
      </c>
      <c r="AU214">
        <f t="shared" si="153"/>
        <v>60</v>
      </c>
      <c r="AV214">
        <f t="shared" si="142"/>
        <v>0</v>
      </c>
      <c r="AW214">
        <f t="shared" si="143"/>
        <v>94</v>
      </c>
      <c r="AX214">
        <f t="shared" si="144"/>
        <v>88</v>
      </c>
      <c r="AY214">
        <f t="shared" si="133"/>
        <v>80.000160000319994</v>
      </c>
      <c r="AZ214">
        <f t="shared" si="145"/>
        <v>94</v>
      </c>
      <c r="BA214">
        <f t="shared" si="146"/>
        <v>58.700008000016005</v>
      </c>
      <c r="BB214">
        <f t="shared" si="155"/>
        <v>5</v>
      </c>
      <c r="BC214" t="str">
        <f t="shared" si="147"/>
        <v>SEAL-003</v>
      </c>
    </row>
    <row r="215" spans="2:55" ht="39.6" x14ac:dyDescent="0.3">
      <c r="B215" s="5" t="s">
        <v>731</v>
      </c>
      <c r="C215" s="15" t="s">
        <v>975</v>
      </c>
      <c r="D215" s="5" t="s">
        <v>987</v>
      </c>
      <c r="E215" s="5" t="s">
        <v>988</v>
      </c>
      <c r="F215" s="5" t="s">
        <v>84</v>
      </c>
      <c r="G215" s="5">
        <v>150</v>
      </c>
      <c r="H215" s="5">
        <v>2</v>
      </c>
      <c r="I215" s="5">
        <v>20000</v>
      </c>
      <c r="J215" s="5">
        <v>40000</v>
      </c>
      <c r="K215" s="5">
        <v>21</v>
      </c>
      <c r="L215" s="5">
        <v>10</v>
      </c>
      <c r="M215" s="5">
        <v>0.05</v>
      </c>
      <c r="N215" s="5">
        <v>92</v>
      </c>
      <c r="O215" s="5" t="s">
        <v>154</v>
      </c>
      <c r="P215" s="5" t="s">
        <v>924</v>
      </c>
      <c r="Q215" s="5">
        <v>9.5</v>
      </c>
      <c r="R215" s="5">
        <v>8.8000000000000007</v>
      </c>
      <c r="S215" s="5" t="s">
        <v>206</v>
      </c>
      <c r="T215" s="5">
        <v>9.5</v>
      </c>
      <c r="U215" s="5" t="s">
        <v>36</v>
      </c>
      <c r="V215" s="5" t="s">
        <v>46</v>
      </c>
      <c r="W215" s="5">
        <v>1</v>
      </c>
      <c r="X215" s="5" t="s">
        <v>38</v>
      </c>
      <c r="Y215" s="5">
        <v>120</v>
      </c>
      <c r="Z215" s="5">
        <v>8.8000000000000007</v>
      </c>
      <c r="AA215" s="5" t="s">
        <v>963</v>
      </c>
      <c r="AB215" s="5" t="s">
        <v>989</v>
      </c>
      <c r="AC215" s="5" t="s">
        <v>990</v>
      </c>
      <c r="AD215" s="5"/>
      <c r="AF215" s="15" t="s">
        <v>975</v>
      </c>
      <c r="AG215" s="15" t="s">
        <v>988</v>
      </c>
      <c r="AH215">
        <f t="shared" si="152"/>
        <v>20.000000000000014</v>
      </c>
      <c r="AI215">
        <f t="shared" si="134"/>
        <v>95</v>
      </c>
      <c r="AJ215" s="12">
        <f t="shared" si="135"/>
        <v>99</v>
      </c>
      <c r="AK215">
        <f t="shared" si="136"/>
        <v>92</v>
      </c>
      <c r="AL215">
        <f t="shared" si="137"/>
        <v>0</v>
      </c>
      <c r="AM215">
        <f t="shared" si="138"/>
        <v>70</v>
      </c>
      <c r="AN215">
        <f t="shared" si="132"/>
        <v>96.000192000384004</v>
      </c>
      <c r="AO215">
        <f t="shared" si="139"/>
        <v>88</v>
      </c>
      <c r="AP215">
        <f t="shared" si="140"/>
        <v>65.540005760011525</v>
      </c>
      <c r="AQ215">
        <f t="shared" si="154"/>
        <v>7</v>
      </c>
      <c r="AR215" t="str">
        <f t="shared" si="141"/>
        <v>SEAL-004</v>
      </c>
      <c r="AS215" s="15" t="s">
        <v>975</v>
      </c>
      <c r="AT215" s="15" t="s">
        <v>988</v>
      </c>
      <c r="AU215">
        <f t="shared" si="153"/>
        <v>20.000000000000014</v>
      </c>
      <c r="AV215">
        <f t="shared" si="142"/>
        <v>0</v>
      </c>
      <c r="AW215">
        <f t="shared" si="143"/>
        <v>92</v>
      </c>
      <c r="AX215">
        <f t="shared" si="144"/>
        <v>95</v>
      </c>
      <c r="AY215">
        <f t="shared" si="133"/>
        <v>96.000192000384004</v>
      </c>
      <c r="AZ215">
        <f t="shared" si="145"/>
        <v>70</v>
      </c>
      <c r="BA215">
        <f t="shared" si="146"/>
        <v>46.950009600019207</v>
      </c>
      <c r="BB215">
        <f t="shared" si="155"/>
        <v>7</v>
      </c>
      <c r="BC215" t="str">
        <f t="shared" si="147"/>
        <v>SEAL-004</v>
      </c>
    </row>
    <row r="216" spans="2:55" ht="39.6" x14ac:dyDescent="0.3">
      <c r="B216" s="5" t="s">
        <v>731</v>
      </c>
      <c r="C216" s="15" t="s">
        <v>975</v>
      </c>
      <c r="D216" s="5" t="s">
        <v>991</v>
      </c>
      <c r="E216" s="5" t="s">
        <v>992</v>
      </c>
      <c r="F216" s="5" t="s">
        <v>78</v>
      </c>
      <c r="G216" s="5">
        <v>1400</v>
      </c>
      <c r="H216" s="5">
        <v>1.2</v>
      </c>
      <c r="I216" s="5">
        <v>200000</v>
      </c>
      <c r="J216" s="5">
        <v>240000</v>
      </c>
      <c r="K216" s="5">
        <v>30</v>
      </c>
      <c r="L216" s="5">
        <v>15</v>
      </c>
      <c r="M216" s="5">
        <v>0.3</v>
      </c>
      <c r="N216" s="5">
        <v>88</v>
      </c>
      <c r="O216" s="5">
        <v>90</v>
      </c>
      <c r="P216" s="5" t="s">
        <v>735</v>
      </c>
      <c r="Q216" s="5">
        <v>7.5</v>
      </c>
      <c r="R216" s="5">
        <v>8</v>
      </c>
      <c r="S216" s="5" t="s">
        <v>54</v>
      </c>
      <c r="T216" s="5">
        <v>6.5</v>
      </c>
      <c r="U216" s="5" t="s">
        <v>174</v>
      </c>
      <c r="V216" s="5" t="s">
        <v>54</v>
      </c>
      <c r="W216" s="5">
        <v>3</v>
      </c>
      <c r="X216" s="5" t="s">
        <v>68</v>
      </c>
      <c r="Y216" s="5">
        <v>30</v>
      </c>
      <c r="Z216" s="5">
        <v>6.5</v>
      </c>
      <c r="AA216" s="5" t="s">
        <v>54</v>
      </c>
      <c r="AB216" s="5" t="s">
        <v>993</v>
      </c>
      <c r="AC216" s="5" t="s">
        <v>783</v>
      </c>
      <c r="AD216" s="5"/>
      <c r="AF216" s="15" t="s">
        <v>975</v>
      </c>
      <c r="AG216" s="15" t="s">
        <v>992</v>
      </c>
      <c r="AH216">
        <f t="shared" si="152"/>
        <v>100</v>
      </c>
      <c r="AI216">
        <f t="shared" si="134"/>
        <v>75</v>
      </c>
      <c r="AJ216" s="12">
        <f t="shared" si="135"/>
        <v>94</v>
      </c>
      <c r="AK216">
        <f t="shared" si="136"/>
        <v>88</v>
      </c>
      <c r="AL216">
        <f t="shared" si="137"/>
        <v>0</v>
      </c>
      <c r="AM216">
        <f t="shared" si="138"/>
        <v>0</v>
      </c>
      <c r="AN216">
        <f t="shared" si="132"/>
        <v>60.000120000239995</v>
      </c>
      <c r="AO216">
        <f t="shared" si="139"/>
        <v>65</v>
      </c>
      <c r="AP216">
        <f t="shared" si="140"/>
        <v>74.150003600007196</v>
      </c>
      <c r="AQ216">
        <f t="shared" si="154"/>
        <v>4</v>
      </c>
      <c r="AR216" t="str">
        <f t="shared" si="141"/>
        <v>SEAL-005</v>
      </c>
      <c r="AS216" s="15" t="s">
        <v>975</v>
      </c>
      <c r="AT216" s="15" t="s">
        <v>992</v>
      </c>
      <c r="AU216">
        <f t="shared" si="153"/>
        <v>100</v>
      </c>
      <c r="AV216">
        <f t="shared" si="142"/>
        <v>0</v>
      </c>
      <c r="AW216">
        <f t="shared" si="143"/>
        <v>88</v>
      </c>
      <c r="AX216">
        <f t="shared" si="144"/>
        <v>75</v>
      </c>
      <c r="AY216">
        <f t="shared" si="133"/>
        <v>60.000120000239995</v>
      </c>
      <c r="AZ216">
        <f t="shared" si="145"/>
        <v>0</v>
      </c>
      <c r="BA216">
        <f t="shared" si="146"/>
        <v>61.850006000012002</v>
      </c>
      <c r="BB216">
        <f t="shared" si="155"/>
        <v>2</v>
      </c>
      <c r="BC216" t="str">
        <f t="shared" si="147"/>
        <v>SEAL-005</v>
      </c>
    </row>
    <row r="217" spans="2:55" ht="39.6" x14ac:dyDescent="0.3">
      <c r="B217" s="5" t="s">
        <v>731</v>
      </c>
      <c r="C217" s="15" t="s">
        <v>975</v>
      </c>
      <c r="D217" s="5" t="s">
        <v>994</v>
      </c>
      <c r="E217" s="5" t="s">
        <v>995</v>
      </c>
      <c r="F217" s="5" t="s">
        <v>33</v>
      </c>
      <c r="G217" s="5">
        <v>65</v>
      </c>
      <c r="H217" s="5">
        <v>1.7</v>
      </c>
      <c r="I217" s="5">
        <v>60000</v>
      </c>
      <c r="J217" s="5">
        <v>102000</v>
      </c>
      <c r="K217" s="5">
        <v>14</v>
      </c>
      <c r="L217" s="5">
        <v>7</v>
      </c>
      <c r="M217" s="5">
        <v>0.12</v>
      </c>
      <c r="N217" s="5">
        <v>96</v>
      </c>
      <c r="O217" s="5">
        <v>60</v>
      </c>
      <c r="P217" s="5" t="s">
        <v>937</v>
      </c>
      <c r="Q217" s="5">
        <v>9</v>
      </c>
      <c r="R217" s="5">
        <v>9.3000000000000007</v>
      </c>
      <c r="S217" s="5" t="s">
        <v>67</v>
      </c>
      <c r="T217" s="5">
        <v>9</v>
      </c>
      <c r="U217" s="5" t="s">
        <v>53</v>
      </c>
      <c r="V217" s="5" t="s">
        <v>37</v>
      </c>
      <c r="W217" s="5">
        <v>2</v>
      </c>
      <c r="X217" s="5" t="s">
        <v>38</v>
      </c>
      <c r="Y217" s="5">
        <v>50</v>
      </c>
      <c r="Z217" s="5">
        <v>9.3000000000000007</v>
      </c>
      <c r="AA217" s="5" t="s">
        <v>47</v>
      </c>
      <c r="AB217" s="5" t="s">
        <v>996</v>
      </c>
      <c r="AC217" s="5" t="s">
        <v>977</v>
      </c>
      <c r="AD217" s="5"/>
      <c r="AF217" s="15" t="s">
        <v>975</v>
      </c>
      <c r="AG217" s="15" t="s">
        <v>995</v>
      </c>
      <c r="AH217">
        <f t="shared" si="152"/>
        <v>50.000000000000014</v>
      </c>
      <c r="AI217">
        <f t="shared" si="134"/>
        <v>90</v>
      </c>
      <c r="AJ217" s="12">
        <f t="shared" si="135"/>
        <v>97.6</v>
      </c>
      <c r="AK217">
        <f t="shared" si="136"/>
        <v>96</v>
      </c>
      <c r="AL217">
        <f t="shared" si="137"/>
        <v>30</v>
      </c>
      <c r="AM217">
        <f t="shared" si="138"/>
        <v>87</v>
      </c>
      <c r="AN217">
        <f t="shared" si="132"/>
        <v>88.000176000351999</v>
      </c>
      <c r="AO217">
        <f t="shared" si="139"/>
        <v>93</v>
      </c>
      <c r="AP217">
        <f t="shared" si="140"/>
        <v>75.890005280010541</v>
      </c>
      <c r="AQ217">
        <f t="shared" si="154"/>
        <v>2</v>
      </c>
      <c r="AR217" t="str">
        <f t="shared" si="141"/>
        <v>SEAL-006</v>
      </c>
      <c r="AS217" s="15" t="s">
        <v>975</v>
      </c>
      <c r="AT217" s="15" t="s">
        <v>995</v>
      </c>
      <c r="AU217">
        <f t="shared" si="153"/>
        <v>50.000000000000014</v>
      </c>
      <c r="AV217">
        <f t="shared" si="142"/>
        <v>30</v>
      </c>
      <c r="AW217">
        <f t="shared" si="143"/>
        <v>96</v>
      </c>
      <c r="AX217">
        <f t="shared" si="144"/>
        <v>90</v>
      </c>
      <c r="AY217">
        <f t="shared" si="133"/>
        <v>88.000176000351999</v>
      </c>
      <c r="AZ217">
        <f t="shared" si="145"/>
        <v>87</v>
      </c>
      <c r="BA217">
        <f t="shared" si="146"/>
        <v>63.950008800017606</v>
      </c>
      <c r="BB217">
        <f t="shared" si="155"/>
        <v>1</v>
      </c>
      <c r="BC217" t="str">
        <f t="shared" si="147"/>
        <v>SEAL-006</v>
      </c>
    </row>
    <row r="218" spans="2:55" ht="39.6" x14ac:dyDescent="0.3">
      <c r="B218" s="5" t="s">
        <v>731</v>
      </c>
      <c r="C218" s="15" t="s">
        <v>975</v>
      </c>
      <c r="D218" s="5" t="s">
        <v>997</v>
      </c>
      <c r="E218" s="5" t="s">
        <v>998</v>
      </c>
      <c r="F218" s="5" t="s">
        <v>72</v>
      </c>
      <c r="G218" s="5">
        <v>15</v>
      </c>
      <c r="H218" s="5">
        <v>1.9</v>
      </c>
      <c r="I218" s="5">
        <v>40000</v>
      </c>
      <c r="J218" s="5">
        <v>76000</v>
      </c>
      <c r="K218" s="5">
        <v>21</v>
      </c>
      <c r="L218" s="5">
        <v>10</v>
      </c>
      <c r="M218" s="5">
        <v>0.08</v>
      </c>
      <c r="N218" s="5">
        <v>95</v>
      </c>
      <c r="O218" s="5">
        <v>45</v>
      </c>
      <c r="P218" s="5" t="s">
        <v>999</v>
      </c>
      <c r="Q218" s="5">
        <v>9.3000000000000007</v>
      </c>
      <c r="R218" s="5">
        <v>9.1</v>
      </c>
      <c r="S218" s="5" t="s">
        <v>972</v>
      </c>
      <c r="T218" s="5">
        <v>9.8000000000000007</v>
      </c>
      <c r="U218" s="5" t="s">
        <v>53</v>
      </c>
      <c r="V218" s="5" t="s">
        <v>54</v>
      </c>
      <c r="W218" s="5">
        <v>1</v>
      </c>
      <c r="X218" s="5" t="s">
        <v>38</v>
      </c>
      <c r="Y218" s="5">
        <v>65</v>
      </c>
      <c r="Z218" s="5">
        <v>9.1</v>
      </c>
      <c r="AA218" s="5" t="s">
        <v>886</v>
      </c>
      <c r="AB218" s="5" t="s">
        <v>1000</v>
      </c>
      <c r="AC218" s="5" t="s">
        <v>761</v>
      </c>
      <c r="AD218" s="5"/>
      <c r="AF218" s="15" t="s">
        <v>975</v>
      </c>
      <c r="AG218" s="15" t="s">
        <v>998</v>
      </c>
      <c r="AH218">
        <f t="shared" si="152"/>
        <v>30.000000000000014</v>
      </c>
      <c r="AI218">
        <f t="shared" si="134"/>
        <v>93</v>
      </c>
      <c r="AJ218" s="12">
        <f t="shared" si="135"/>
        <v>98.4</v>
      </c>
      <c r="AK218">
        <f t="shared" si="136"/>
        <v>95</v>
      </c>
      <c r="AL218">
        <f t="shared" si="137"/>
        <v>0</v>
      </c>
      <c r="AM218">
        <f t="shared" si="138"/>
        <v>97</v>
      </c>
      <c r="AN218">
        <f t="shared" si="132"/>
        <v>92.000184000367994</v>
      </c>
      <c r="AO218">
        <f t="shared" si="139"/>
        <v>91</v>
      </c>
      <c r="AP218">
        <f t="shared" si="140"/>
        <v>69.190005520011027</v>
      </c>
      <c r="AQ218">
        <f t="shared" si="154"/>
        <v>6</v>
      </c>
      <c r="AR218" t="str">
        <f t="shared" si="141"/>
        <v>SEAL-007</v>
      </c>
      <c r="AS218" s="15" t="s">
        <v>975</v>
      </c>
      <c r="AT218" s="15" t="s">
        <v>998</v>
      </c>
      <c r="AU218">
        <f t="shared" si="153"/>
        <v>30.000000000000014</v>
      </c>
      <c r="AV218">
        <f t="shared" si="142"/>
        <v>0</v>
      </c>
      <c r="AW218">
        <f t="shared" si="143"/>
        <v>95</v>
      </c>
      <c r="AX218">
        <f t="shared" si="144"/>
        <v>93</v>
      </c>
      <c r="AY218">
        <f t="shared" si="133"/>
        <v>92.000184000367994</v>
      </c>
      <c r="AZ218">
        <f t="shared" si="145"/>
        <v>97</v>
      </c>
      <c r="BA218">
        <f t="shared" si="146"/>
        <v>51.400009200018403</v>
      </c>
      <c r="BB218">
        <f t="shared" si="155"/>
        <v>6</v>
      </c>
      <c r="BC218" t="str">
        <f t="shared" si="147"/>
        <v>SEAL-007</v>
      </c>
    </row>
    <row r="219" spans="2:55" ht="39.6" x14ac:dyDescent="0.3">
      <c r="B219" s="5" t="s">
        <v>731</v>
      </c>
      <c r="C219" s="15" t="s">
        <v>975</v>
      </c>
      <c r="D219" s="5" t="s">
        <v>1001</v>
      </c>
      <c r="E219" s="5" t="s">
        <v>1002</v>
      </c>
      <c r="F219" s="5" t="s">
        <v>59</v>
      </c>
      <c r="G219" s="5">
        <v>200</v>
      </c>
      <c r="H219" s="5">
        <v>2.2000000000000002</v>
      </c>
      <c r="I219" s="5">
        <v>30000</v>
      </c>
      <c r="J219" s="5">
        <v>66000</v>
      </c>
      <c r="K219" s="5">
        <v>30</v>
      </c>
      <c r="L219" s="5">
        <v>15</v>
      </c>
      <c r="M219" s="5">
        <v>0.06</v>
      </c>
      <c r="N219" s="5">
        <v>93</v>
      </c>
      <c r="O219" s="5" t="s">
        <v>294</v>
      </c>
      <c r="P219" s="5" t="s">
        <v>753</v>
      </c>
      <c r="Q219" s="5">
        <v>9.8000000000000007</v>
      </c>
      <c r="R219" s="5">
        <v>8.5</v>
      </c>
      <c r="S219" s="5" t="s">
        <v>967</v>
      </c>
      <c r="T219" s="5">
        <v>9.8000000000000007</v>
      </c>
      <c r="U219" s="5" t="s">
        <v>36</v>
      </c>
      <c r="V219" s="5" t="s">
        <v>46</v>
      </c>
      <c r="W219" s="5">
        <v>1</v>
      </c>
      <c r="X219" s="5" t="s">
        <v>38</v>
      </c>
      <c r="Y219" s="5">
        <v>100</v>
      </c>
      <c r="Z219" s="5">
        <v>8.5</v>
      </c>
      <c r="AA219" s="5" t="s">
        <v>1003</v>
      </c>
      <c r="AB219" s="5" t="s">
        <v>1004</v>
      </c>
      <c r="AC219" s="5" t="s">
        <v>1005</v>
      </c>
      <c r="AD219" s="5"/>
      <c r="AF219" s="15" t="s">
        <v>975</v>
      </c>
      <c r="AG219" s="15" t="s">
        <v>1002</v>
      </c>
      <c r="AH219">
        <f t="shared" si="152"/>
        <v>0</v>
      </c>
      <c r="AI219">
        <f t="shared" si="134"/>
        <v>98</v>
      </c>
      <c r="AJ219" s="12">
        <f t="shared" si="135"/>
        <v>98.8</v>
      </c>
      <c r="AK219">
        <f t="shared" si="136"/>
        <v>93</v>
      </c>
      <c r="AL219">
        <f t="shared" si="137"/>
        <v>0</v>
      </c>
      <c r="AM219">
        <f t="shared" si="138"/>
        <v>60</v>
      </c>
      <c r="AN219">
        <f t="shared" si="132"/>
        <v>94.000188000375999</v>
      </c>
      <c r="AO219">
        <f t="shared" si="139"/>
        <v>85</v>
      </c>
      <c r="AP219">
        <f t="shared" si="140"/>
        <v>60.79000564001128</v>
      </c>
      <c r="AQ219">
        <f t="shared" si="154"/>
        <v>8</v>
      </c>
      <c r="AR219" t="str">
        <f t="shared" si="141"/>
        <v>SEAL-008</v>
      </c>
      <c r="AS219" s="15" t="s">
        <v>975</v>
      </c>
      <c r="AT219" s="15" t="s">
        <v>1002</v>
      </c>
      <c r="AU219">
        <f t="shared" si="153"/>
        <v>0</v>
      </c>
      <c r="AV219">
        <f t="shared" si="142"/>
        <v>0</v>
      </c>
      <c r="AW219">
        <f t="shared" si="143"/>
        <v>93</v>
      </c>
      <c r="AX219">
        <f t="shared" si="144"/>
        <v>98</v>
      </c>
      <c r="AY219">
        <f t="shared" si="133"/>
        <v>94.000188000375999</v>
      </c>
      <c r="AZ219">
        <f t="shared" si="145"/>
        <v>60</v>
      </c>
      <c r="BA219">
        <f t="shared" si="146"/>
        <v>41.000009400018797</v>
      </c>
      <c r="BB219">
        <f t="shared" si="155"/>
        <v>8</v>
      </c>
      <c r="BC219" t="str">
        <f t="shared" si="147"/>
        <v>SEAL-008</v>
      </c>
    </row>
    <row r="220" spans="2:55" ht="39.6" x14ac:dyDescent="0.3">
      <c r="B220" s="5" t="s">
        <v>731</v>
      </c>
      <c r="C220" s="15" t="s">
        <v>1006</v>
      </c>
      <c r="D220" s="5" t="s">
        <v>1007</v>
      </c>
      <c r="E220" s="5" t="s">
        <v>1008</v>
      </c>
      <c r="F220" s="5" t="s">
        <v>72</v>
      </c>
      <c r="G220" s="5">
        <v>15</v>
      </c>
      <c r="H220" s="5">
        <v>0.3</v>
      </c>
      <c r="I220" s="5">
        <v>100000</v>
      </c>
      <c r="J220" s="5">
        <v>30000</v>
      </c>
      <c r="K220" s="5">
        <v>5</v>
      </c>
      <c r="L220" s="5">
        <v>2</v>
      </c>
      <c r="M220" s="5">
        <v>0.1</v>
      </c>
      <c r="N220" s="5">
        <v>99</v>
      </c>
      <c r="O220" s="5">
        <v>45</v>
      </c>
      <c r="P220" s="5" t="s">
        <v>845</v>
      </c>
      <c r="Q220" s="5">
        <v>9</v>
      </c>
      <c r="R220" s="5">
        <v>9.9</v>
      </c>
      <c r="S220" s="5" t="s">
        <v>67</v>
      </c>
      <c r="T220" s="5">
        <v>8.5</v>
      </c>
      <c r="U220" s="5" t="s">
        <v>36</v>
      </c>
      <c r="V220" s="5" t="s">
        <v>37</v>
      </c>
      <c r="W220" s="5">
        <v>1</v>
      </c>
      <c r="X220" s="5" t="s">
        <v>38</v>
      </c>
      <c r="Y220" s="5">
        <v>20</v>
      </c>
      <c r="Z220" s="5">
        <v>9.8000000000000007</v>
      </c>
      <c r="AA220" s="5" t="s">
        <v>1009</v>
      </c>
      <c r="AB220" s="5" t="s">
        <v>846</v>
      </c>
      <c r="AC220" s="5" t="s">
        <v>1010</v>
      </c>
      <c r="AD220" s="5"/>
      <c r="AF220" s="15" t="s">
        <v>1006</v>
      </c>
      <c r="AG220" s="15" t="s">
        <v>1008</v>
      </c>
      <c r="AH220">
        <f t="shared" ref="AH220:AH227" si="156">100-((H220-MIN($H$220:$H$227))/(MAX($H$220:$H$227)-MIN($H$220:$H$227))*100)</f>
        <v>66.666666666666671</v>
      </c>
      <c r="AI220">
        <f t="shared" si="134"/>
        <v>90</v>
      </c>
      <c r="AJ220" s="12">
        <f t="shared" si="135"/>
        <v>98</v>
      </c>
      <c r="AK220">
        <f t="shared" si="136"/>
        <v>99</v>
      </c>
      <c r="AL220">
        <f t="shared" si="137"/>
        <v>75</v>
      </c>
      <c r="AM220">
        <f t="shared" si="138"/>
        <v>97</v>
      </c>
      <c r="AN220">
        <f t="shared" si="132"/>
        <v>80.000160000319994</v>
      </c>
      <c r="AO220">
        <f t="shared" si="139"/>
        <v>98</v>
      </c>
      <c r="AP220">
        <f t="shared" si="140"/>
        <v>85.426671466676254</v>
      </c>
      <c r="AQ220">
        <f>RANK(AP220, $AP$220:$AP$227, 0)</f>
        <v>2</v>
      </c>
      <c r="AR220" t="str">
        <f t="shared" si="141"/>
        <v>SHRINK-001</v>
      </c>
      <c r="AS220" s="15" t="s">
        <v>1006</v>
      </c>
      <c r="AT220" s="15" t="s">
        <v>1008</v>
      </c>
      <c r="AU220">
        <f t="shared" ref="AU220:AU227" si="157">100-((H220-MIN($H$220:$H$227))/(MAX($H$220:$H$227)-MIN($H$220:$H$227))*100)</f>
        <v>66.666666666666671</v>
      </c>
      <c r="AV220">
        <f t="shared" si="142"/>
        <v>75</v>
      </c>
      <c r="AW220">
        <f t="shared" si="143"/>
        <v>99</v>
      </c>
      <c r="AX220">
        <f t="shared" si="144"/>
        <v>90</v>
      </c>
      <c r="AY220">
        <f t="shared" si="133"/>
        <v>80.000160000319994</v>
      </c>
      <c r="AZ220">
        <f t="shared" si="145"/>
        <v>97</v>
      </c>
      <c r="BA220">
        <f t="shared" si="146"/>
        <v>80.900008000015987</v>
      </c>
      <c r="BB220">
        <f>RANK(BA220, $BA$220:$BA$227, 0)</f>
        <v>2</v>
      </c>
      <c r="BC220" t="str">
        <f t="shared" si="147"/>
        <v>SHRINK-001</v>
      </c>
    </row>
    <row r="221" spans="2:55" ht="39.6" x14ac:dyDescent="0.3">
      <c r="B221" s="5" t="s">
        <v>731</v>
      </c>
      <c r="C221" s="15" t="s">
        <v>1006</v>
      </c>
      <c r="D221" s="5" t="s">
        <v>1011</v>
      </c>
      <c r="E221" s="5" t="s">
        <v>1012</v>
      </c>
      <c r="F221" s="5" t="s">
        <v>524</v>
      </c>
      <c r="G221" s="5">
        <v>30</v>
      </c>
      <c r="H221" s="5">
        <v>0.25</v>
      </c>
      <c r="I221" s="5">
        <v>200000</v>
      </c>
      <c r="J221" s="5">
        <v>50000</v>
      </c>
      <c r="K221" s="5">
        <v>7</v>
      </c>
      <c r="L221" s="5">
        <v>3</v>
      </c>
      <c r="M221" s="5">
        <v>0.15</v>
      </c>
      <c r="N221" s="5">
        <v>98</v>
      </c>
      <c r="O221" s="5">
        <v>60</v>
      </c>
      <c r="P221" s="5" t="s">
        <v>871</v>
      </c>
      <c r="Q221" s="5">
        <v>8.5</v>
      </c>
      <c r="R221" s="5">
        <v>9.6999999999999993</v>
      </c>
      <c r="S221" s="5" t="s">
        <v>52</v>
      </c>
      <c r="T221" s="5">
        <v>8</v>
      </c>
      <c r="U221" s="5" t="s">
        <v>53</v>
      </c>
      <c r="V221" s="5" t="s">
        <v>46</v>
      </c>
      <c r="W221" s="5">
        <v>2</v>
      </c>
      <c r="X221" s="5" t="s">
        <v>38</v>
      </c>
      <c r="Y221" s="5">
        <v>30</v>
      </c>
      <c r="Z221" s="5">
        <v>9.5</v>
      </c>
      <c r="AA221" s="5" t="s">
        <v>1013</v>
      </c>
      <c r="AB221" s="5" t="s">
        <v>841</v>
      </c>
      <c r="AC221" s="5" t="s">
        <v>1014</v>
      </c>
      <c r="AD221" s="5"/>
      <c r="AF221" s="15" t="s">
        <v>1006</v>
      </c>
      <c r="AG221" s="15" t="s">
        <v>1012</v>
      </c>
      <c r="AH221">
        <f t="shared" si="156"/>
        <v>83.333333333333343</v>
      </c>
      <c r="AI221">
        <f t="shared" si="134"/>
        <v>85</v>
      </c>
      <c r="AJ221" s="12">
        <f t="shared" si="135"/>
        <v>97</v>
      </c>
      <c r="AK221">
        <f t="shared" si="136"/>
        <v>98</v>
      </c>
      <c r="AL221">
        <f t="shared" si="137"/>
        <v>65</v>
      </c>
      <c r="AM221">
        <f t="shared" si="138"/>
        <v>94</v>
      </c>
      <c r="AN221">
        <f t="shared" si="132"/>
        <v>60.000120000239995</v>
      </c>
      <c r="AO221">
        <f t="shared" si="139"/>
        <v>95</v>
      </c>
      <c r="AP221">
        <f t="shared" si="140"/>
        <v>86.233336933340539</v>
      </c>
      <c r="AQ221">
        <f t="shared" ref="AQ221:AQ227" si="158">RANK(AP221, $AP$220:$AP$227, 0)</f>
        <v>1</v>
      </c>
      <c r="AR221" t="str">
        <f t="shared" si="141"/>
        <v>SHRINK-002</v>
      </c>
      <c r="AS221" s="15" t="s">
        <v>1006</v>
      </c>
      <c r="AT221" s="15" t="s">
        <v>1012</v>
      </c>
      <c r="AU221">
        <f t="shared" si="157"/>
        <v>83.333333333333343</v>
      </c>
      <c r="AV221">
        <f t="shared" si="142"/>
        <v>65</v>
      </c>
      <c r="AW221">
        <f t="shared" si="143"/>
        <v>98</v>
      </c>
      <c r="AX221">
        <f t="shared" si="144"/>
        <v>85</v>
      </c>
      <c r="AY221">
        <f t="shared" si="133"/>
        <v>60.000120000239995</v>
      </c>
      <c r="AZ221">
        <f t="shared" si="145"/>
        <v>94</v>
      </c>
      <c r="BA221">
        <f t="shared" si="146"/>
        <v>81.300006000012004</v>
      </c>
      <c r="BB221">
        <f t="shared" ref="BB221:BB227" si="159">RANK(BA221, $BA$220:$BA$227, 0)</f>
        <v>1</v>
      </c>
      <c r="BC221" t="str">
        <f t="shared" si="147"/>
        <v>SHRINK-002</v>
      </c>
    </row>
    <row r="222" spans="2:55" ht="39.6" x14ac:dyDescent="0.3">
      <c r="B222" s="5" t="s">
        <v>731</v>
      </c>
      <c r="C222" s="15" t="s">
        <v>1006</v>
      </c>
      <c r="D222" s="5" t="s">
        <v>1015</v>
      </c>
      <c r="E222" s="5" t="s">
        <v>1016</v>
      </c>
      <c r="F222" s="5" t="s">
        <v>223</v>
      </c>
      <c r="G222" s="5">
        <v>40</v>
      </c>
      <c r="H222" s="5">
        <v>0.35</v>
      </c>
      <c r="I222" s="5">
        <v>50000</v>
      </c>
      <c r="J222" s="5">
        <v>17500</v>
      </c>
      <c r="K222" s="5">
        <v>3</v>
      </c>
      <c r="L222" s="5">
        <v>1</v>
      </c>
      <c r="M222" s="5">
        <v>0.08</v>
      </c>
      <c r="N222" s="5">
        <v>99</v>
      </c>
      <c r="O222" s="5">
        <v>30</v>
      </c>
      <c r="P222" s="5" t="s">
        <v>834</v>
      </c>
      <c r="Q222" s="5">
        <v>9.5</v>
      </c>
      <c r="R222" s="5">
        <v>9.9</v>
      </c>
      <c r="S222" s="5" t="s">
        <v>404</v>
      </c>
      <c r="T222" s="5">
        <v>9.1999999999999993</v>
      </c>
      <c r="U222" s="5" t="s">
        <v>36</v>
      </c>
      <c r="V222" s="5" t="s">
        <v>37</v>
      </c>
      <c r="W222" s="5">
        <v>1</v>
      </c>
      <c r="X222" s="5" t="s">
        <v>38</v>
      </c>
      <c r="Y222" s="5">
        <v>15</v>
      </c>
      <c r="Z222" s="5">
        <v>9.9</v>
      </c>
      <c r="AA222" s="5" t="s">
        <v>1017</v>
      </c>
      <c r="AB222" s="5" t="s">
        <v>1018</v>
      </c>
      <c r="AC222" s="5" t="s">
        <v>1019</v>
      </c>
      <c r="AD222" s="5"/>
      <c r="AF222" s="15" t="s">
        <v>1006</v>
      </c>
      <c r="AG222" s="15" t="s">
        <v>1016</v>
      </c>
      <c r="AH222">
        <f t="shared" si="156"/>
        <v>50.000000000000014</v>
      </c>
      <c r="AI222">
        <f t="shared" si="134"/>
        <v>95</v>
      </c>
      <c r="AJ222" s="12">
        <f t="shared" si="135"/>
        <v>98.4</v>
      </c>
      <c r="AK222">
        <f t="shared" si="136"/>
        <v>99</v>
      </c>
      <c r="AL222">
        <f t="shared" si="137"/>
        <v>85</v>
      </c>
      <c r="AM222">
        <f t="shared" si="138"/>
        <v>92</v>
      </c>
      <c r="AN222">
        <f t="shared" si="132"/>
        <v>90.000180000360004</v>
      </c>
      <c r="AO222">
        <f t="shared" si="139"/>
        <v>99</v>
      </c>
      <c r="AP222">
        <f t="shared" si="140"/>
        <v>83.640005400010793</v>
      </c>
      <c r="AQ222">
        <f t="shared" si="158"/>
        <v>3</v>
      </c>
      <c r="AR222" t="str">
        <f t="shared" si="141"/>
        <v>SHRINK-003</v>
      </c>
      <c r="AS222" s="15" t="s">
        <v>1006</v>
      </c>
      <c r="AT222" s="15" t="s">
        <v>1016</v>
      </c>
      <c r="AU222">
        <f t="shared" si="157"/>
        <v>50.000000000000014</v>
      </c>
      <c r="AV222">
        <f t="shared" si="142"/>
        <v>85</v>
      </c>
      <c r="AW222">
        <f t="shared" si="143"/>
        <v>99</v>
      </c>
      <c r="AX222">
        <f t="shared" si="144"/>
        <v>95</v>
      </c>
      <c r="AY222">
        <f t="shared" si="133"/>
        <v>90.000180000360004</v>
      </c>
      <c r="AZ222">
        <f t="shared" si="145"/>
        <v>92</v>
      </c>
      <c r="BA222">
        <f t="shared" si="146"/>
        <v>79.400009000017988</v>
      </c>
      <c r="BB222">
        <f t="shared" si="159"/>
        <v>3</v>
      </c>
      <c r="BC222" t="str">
        <f t="shared" si="147"/>
        <v>SHRINK-003</v>
      </c>
    </row>
    <row r="223" spans="2:55" ht="52.8" x14ac:dyDescent="0.3">
      <c r="B223" s="5" t="s">
        <v>731</v>
      </c>
      <c r="C223" s="15" t="s">
        <v>1006</v>
      </c>
      <c r="D223" s="5" t="s">
        <v>1020</v>
      </c>
      <c r="E223" s="5" t="s">
        <v>1021</v>
      </c>
      <c r="F223" s="5" t="s">
        <v>78</v>
      </c>
      <c r="G223" s="5">
        <v>1400</v>
      </c>
      <c r="H223" s="5">
        <v>0.2</v>
      </c>
      <c r="I223" s="5">
        <v>500000</v>
      </c>
      <c r="J223" s="5">
        <v>100000</v>
      </c>
      <c r="K223" s="5">
        <v>10</v>
      </c>
      <c r="L223" s="5">
        <v>5</v>
      </c>
      <c r="M223" s="5">
        <v>0.3</v>
      </c>
      <c r="N223" s="5">
        <v>90</v>
      </c>
      <c r="O223" s="5">
        <v>90</v>
      </c>
      <c r="P223" s="5" t="s">
        <v>880</v>
      </c>
      <c r="Q223" s="5">
        <v>7</v>
      </c>
      <c r="R223" s="5">
        <v>8.5</v>
      </c>
      <c r="S223" s="5" t="s">
        <v>54</v>
      </c>
      <c r="T223" s="5">
        <v>6.5</v>
      </c>
      <c r="U223" s="5" t="s">
        <v>174</v>
      </c>
      <c r="V223" s="5" t="s">
        <v>54</v>
      </c>
      <c r="W223" s="5">
        <v>3</v>
      </c>
      <c r="X223" s="5" t="s">
        <v>68</v>
      </c>
      <c r="Y223" s="5">
        <v>10</v>
      </c>
      <c r="Z223" s="5">
        <v>7</v>
      </c>
      <c r="AA223" s="5" t="s">
        <v>829</v>
      </c>
      <c r="AB223" s="5" t="s">
        <v>862</v>
      </c>
      <c r="AC223" s="5" t="s">
        <v>766</v>
      </c>
      <c r="AD223" s="5"/>
      <c r="AF223" s="15" t="s">
        <v>1006</v>
      </c>
      <c r="AG223" s="15" t="s">
        <v>1021</v>
      </c>
      <c r="AH223">
        <f t="shared" si="156"/>
        <v>100</v>
      </c>
      <c r="AI223">
        <f t="shared" si="134"/>
        <v>70</v>
      </c>
      <c r="AJ223" s="12">
        <f t="shared" si="135"/>
        <v>94</v>
      </c>
      <c r="AK223">
        <f t="shared" si="136"/>
        <v>90</v>
      </c>
      <c r="AL223">
        <f t="shared" si="137"/>
        <v>50</v>
      </c>
      <c r="AM223">
        <f t="shared" si="138"/>
        <v>0</v>
      </c>
      <c r="AN223">
        <f t="shared" si="132"/>
        <v>0</v>
      </c>
      <c r="AO223">
        <f t="shared" si="139"/>
        <v>70</v>
      </c>
      <c r="AP223">
        <f t="shared" si="140"/>
        <v>76.5</v>
      </c>
      <c r="AQ223">
        <f t="shared" si="158"/>
        <v>5</v>
      </c>
      <c r="AR223" t="str">
        <f t="shared" si="141"/>
        <v>SHRINK-004</v>
      </c>
      <c r="AS223" s="15" t="s">
        <v>1006</v>
      </c>
      <c r="AT223" s="15" t="s">
        <v>1021</v>
      </c>
      <c r="AU223">
        <f t="shared" si="157"/>
        <v>100</v>
      </c>
      <c r="AV223">
        <f t="shared" si="142"/>
        <v>50</v>
      </c>
      <c r="AW223">
        <f t="shared" si="143"/>
        <v>90</v>
      </c>
      <c r="AX223">
        <f t="shared" si="144"/>
        <v>70</v>
      </c>
      <c r="AY223">
        <f t="shared" si="133"/>
        <v>0</v>
      </c>
      <c r="AZ223">
        <f t="shared" si="145"/>
        <v>0</v>
      </c>
      <c r="BA223">
        <f t="shared" si="146"/>
        <v>71</v>
      </c>
      <c r="BB223">
        <f t="shared" si="159"/>
        <v>4</v>
      </c>
      <c r="BC223" t="str">
        <f t="shared" si="147"/>
        <v>SHRINK-004</v>
      </c>
    </row>
    <row r="224" spans="2:55" ht="39.6" x14ac:dyDescent="0.3">
      <c r="B224" s="5" t="s">
        <v>731</v>
      </c>
      <c r="C224" s="15" t="s">
        <v>1006</v>
      </c>
      <c r="D224" s="5" t="s">
        <v>1022</v>
      </c>
      <c r="E224" s="5" t="s">
        <v>1023</v>
      </c>
      <c r="F224" s="5" t="s">
        <v>84</v>
      </c>
      <c r="G224" s="5">
        <v>150</v>
      </c>
      <c r="H224" s="5">
        <v>0.4</v>
      </c>
      <c r="I224" s="5">
        <v>80000</v>
      </c>
      <c r="J224" s="5">
        <v>32000</v>
      </c>
      <c r="K224" s="5">
        <v>7</v>
      </c>
      <c r="L224" s="5">
        <v>3</v>
      </c>
      <c r="M224" s="5">
        <v>0.09</v>
      </c>
      <c r="N224" s="5">
        <v>96</v>
      </c>
      <c r="O224" s="5">
        <v>45</v>
      </c>
      <c r="P224" s="5" t="s">
        <v>834</v>
      </c>
      <c r="Q224" s="5">
        <v>9.1999999999999993</v>
      </c>
      <c r="R224" s="5">
        <v>9.1999999999999993</v>
      </c>
      <c r="S224" s="5" t="s">
        <v>206</v>
      </c>
      <c r="T224" s="5">
        <v>9.1999999999999993</v>
      </c>
      <c r="U224" s="5" t="s">
        <v>53</v>
      </c>
      <c r="V224" s="5" t="s">
        <v>46</v>
      </c>
      <c r="W224" s="5">
        <v>2</v>
      </c>
      <c r="X224" s="5" t="s">
        <v>38</v>
      </c>
      <c r="Y224" s="5">
        <v>25</v>
      </c>
      <c r="Z224" s="5">
        <v>9.1999999999999993</v>
      </c>
      <c r="AA224" s="5" t="s">
        <v>1024</v>
      </c>
      <c r="AB224" s="5" t="s">
        <v>1025</v>
      </c>
      <c r="AC224" s="5" t="s">
        <v>861</v>
      </c>
      <c r="AD224" s="5"/>
      <c r="AF224" s="15" t="s">
        <v>1006</v>
      </c>
      <c r="AG224" s="15" t="s">
        <v>1023</v>
      </c>
      <c r="AH224">
        <f t="shared" si="156"/>
        <v>33.333333333333329</v>
      </c>
      <c r="AI224">
        <f t="shared" si="134"/>
        <v>92</v>
      </c>
      <c r="AJ224" s="12">
        <f t="shared" si="135"/>
        <v>98.2</v>
      </c>
      <c r="AK224">
        <f t="shared" si="136"/>
        <v>96</v>
      </c>
      <c r="AL224">
        <f t="shared" si="137"/>
        <v>65</v>
      </c>
      <c r="AM224">
        <f t="shared" si="138"/>
        <v>70</v>
      </c>
      <c r="AN224">
        <f t="shared" si="132"/>
        <v>84.000168000336004</v>
      </c>
      <c r="AO224">
        <f t="shared" si="139"/>
        <v>92</v>
      </c>
      <c r="AP224">
        <f t="shared" si="140"/>
        <v>74.823338373343418</v>
      </c>
      <c r="AQ224">
        <f t="shared" si="158"/>
        <v>6</v>
      </c>
      <c r="AR224" t="str">
        <f t="shared" si="141"/>
        <v>SHRINK-005</v>
      </c>
      <c r="AS224" s="15" t="s">
        <v>1006</v>
      </c>
      <c r="AT224" s="15" t="s">
        <v>1023</v>
      </c>
      <c r="AU224">
        <f t="shared" si="157"/>
        <v>33.333333333333329</v>
      </c>
      <c r="AV224">
        <f t="shared" si="142"/>
        <v>65</v>
      </c>
      <c r="AW224">
        <f t="shared" si="143"/>
        <v>96</v>
      </c>
      <c r="AX224">
        <f t="shared" si="144"/>
        <v>92</v>
      </c>
      <c r="AY224">
        <f t="shared" si="133"/>
        <v>84.000168000336004</v>
      </c>
      <c r="AZ224">
        <f t="shared" si="145"/>
        <v>70</v>
      </c>
      <c r="BA224">
        <f t="shared" si="146"/>
        <v>66.950008400016799</v>
      </c>
      <c r="BB224">
        <f t="shared" si="159"/>
        <v>5</v>
      </c>
      <c r="BC224" t="str">
        <f t="shared" si="147"/>
        <v>SHRINK-005</v>
      </c>
    </row>
    <row r="225" spans="2:55" ht="39.6" x14ac:dyDescent="0.3">
      <c r="B225" s="5" t="s">
        <v>731</v>
      </c>
      <c r="C225" s="15" t="s">
        <v>1006</v>
      </c>
      <c r="D225" s="5" t="s">
        <v>1026</v>
      </c>
      <c r="E225" s="5" t="s">
        <v>1027</v>
      </c>
      <c r="F225" s="5" t="s">
        <v>33</v>
      </c>
      <c r="G225" s="5">
        <v>65</v>
      </c>
      <c r="H225" s="5">
        <v>0.45</v>
      </c>
      <c r="I225" s="5">
        <v>150000</v>
      </c>
      <c r="J225" s="5">
        <v>67500</v>
      </c>
      <c r="K225" s="5">
        <v>5</v>
      </c>
      <c r="L225" s="5">
        <v>2</v>
      </c>
      <c r="M225" s="5">
        <v>0.12</v>
      </c>
      <c r="N225" s="5">
        <v>97</v>
      </c>
      <c r="O225" s="5">
        <v>60</v>
      </c>
      <c r="P225" s="5" t="s">
        <v>892</v>
      </c>
      <c r="Q225" s="5">
        <v>8.8000000000000007</v>
      </c>
      <c r="R225" s="5">
        <v>9.6</v>
      </c>
      <c r="S225" s="5" t="s">
        <v>760</v>
      </c>
      <c r="T225" s="5">
        <v>9.8000000000000007</v>
      </c>
      <c r="U225" s="5" t="s">
        <v>53</v>
      </c>
      <c r="V225" s="5" t="s">
        <v>37</v>
      </c>
      <c r="W225" s="5">
        <v>2</v>
      </c>
      <c r="X225" s="5" t="s">
        <v>38</v>
      </c>
      <c r="Y225" s="5">
        <v>18</v>
      </c>
      <c r="Z225" s="5">
        <v>9.6</v>
      </c>
      <c r="AA225" s="5" t="s">
        <v>762</v>
      </c>
      <c r="AB225" s="5" t="s">
        <v>1028</v>
      </c>
      <c r="AC225" s="5" t="s">
        <v>761</v>
      </c>
      <c r="AD225" s="5"/>
      <c r="AF225" s="15" t="s">
        <v>1006</v>
      </c>
      <c r="AG225" s="15" t="s">
        <v>1027</v>
      </c>
      <c r="AH225">
        <f t="shared" si="156"/>
        <v>16.666666666666657</v>
      </c>
      <c r="AI225">
        <f t="shared" si="134"/>
        <v>88</v>
      </c>
      <c r="AJ225" s="12">
        <f t="shared" si="135"/>
        <v>97.6</v>
      </c>
      <c r="AK225">
        <f t="shared" si="136"/>
        <v>97</v>
      </c>
      <c r="AL225">
        <f t="shared" si="137"/>
        <v>75</v>
      </c>
      <c r="AM225">
        <f t="shared" si="138"/>
        <v>87</v>
      </c>
      <c r="AN225">
        <f t="shared" si="132"/>
        <v>70.000140000279998</v>
      </c>
      <c r="AO225">
        <f t="shared" si="139"/>
        <v>96</v>
      </c>
      <c r="AP225">
        <f t="shared" si="140"/>
        <v>71.226670866675065</v>
      </c>
      <c r="AQ225">
        <f t="shared" si="158"/>
        <v>7</v>
      </c>
      <c r="AR225" t="str">
        <f t="shared" si="141"/>
        <v>SHRINK-006</v>
      </c>
      <c r="AS225" s="15" t="s">
        <v>1006</v>
      </c>
      <c r="AT225" s="15" t="s">
        <v>1027</v>
      </c>
      <c r="AU225">
        <f t="shared" si="157"/>
        <v>16.666666666666657</v>
      </c>
      <c r="AV225">
        <f t="shared" si="142"/>
        <v>75</v>
      </c>
      <c r="AW225">
        <f t="shared" si="143"/>
        <v>97</v>
      </c>
      <c r="AX225">
        <f t="shared" si="144"/>
        <v>88</v>
      </c>
      <c r="AY225">
        <f t="shared" si="133"/>
        <v>70.000140000279998</v>
      </c>
      <c r="AZ225">
        <f t="shared" si="145"/>
        <v>87</v>
      </c>
      <c r="BA225">
        <f t="shared" si="146"/>
        <v>64.200007000013997</v>
      </c>
      <c r="BB225">
        <f t="shared" si="159"/>
        <v>7</v>
      </c>
      <c r="BC225" t="str">
        <f t="shared" si="147"/>
        <v>SHRINK-006</v>
      </c>
    </row>
    <row r="226" spans="2:55" ht="39.6" x14ac:dyDescent="0.3">
      <c r="B226" s="5" t="s">
        <v>731</v>
      </c>
      <c r="C226" s="15" t="s">
        <v>1006</v>
      </c>
      <c r="D226" s="5" t="s">
        <v>1029</v>
      </c>
      <c r="E226" s="5" t="s">
        <v>1030</v>
      </c>
      <c r="F226" s="5" t="s">
        <v>72</v>
      </c>
      <c r="G226" s="5">
        <v>20</v>
      </c>
      <c r="H226" s="5">
        <v>0.38</v>
      </c>
      <c r="I226" s="5">
        <v>100000</v>
      </c>
      <c r="J226" s="5">
        <v>38000</v>
      </c>
      <c r="K226" s="5">
        <v>10</v>
      </c>
      <c r="L226" s="5">
        <v>5</v>
      </c>
      <c r="M226" s="5">
        <v>0.11</v>
      </c>
      <c r="N226" s="5">
        <v>98</v>
      </c>
      <c r="O226" s="5">
        <v>30</v>
      </c>
      <c r="P226" s="5" t="s">
        <v>903</v>
      </c>
      <c r="Q226" s="5">
        <v>9.3000000000000007</v>
      </c>
      <c r="R226" s="5">
        <v>9.4</v>
      </c>
      <c r="S226" s="5" t="s">
        <v>851</v>
      </c>
      <c r="T226" s="5">
        <v>9.3000000000000007</v>
      </c>
      <c r="U226" s="5" t="s">
        <v>53</v>
      </c>
      <c r="V226" s="5" t="s">
        <v>54</v>
      </c>
      <c r="W226" s="5">
        <v>1</v>
      </c>
      <c r="X226" s="5" t="s">
        <v>38</v>
      </c>
      <c r="Y226" s="5">
        <v>22</v>
      </c>
      <c r="Z226" s="5">
        <v>9.4</v>
      </c>
      <c r="AA226" s="5" t="s">
        <v>1031</v>
      </c>
      <c r="AB226" s="5" t="s">
        <v>847</v>
      </c>
      <c r="AC226" s="5" t="s">
        <v>851</v>
      </c>
      <c r="AD226" s="5"/>
      <c r="AF226" s="15" t="s">
        <v>1006</v>
      </c>
      <c r="AG226" s="15" t="s">
        <v>1030</v>
      </c>
      <c r="AH226">
        <f t="shared" si="156"/>
        <v>40</v>
      </c>
      <c r="AI226">
        <f t="shared" si="134"/>
        <v>93</v>
      </c>
      <c r="AJ226" s="12">
        <f t="shared" si="135"/>
        <v>97.8</v>
      </c>
      <c r="AK226">
        <f t="shared" si="136"/>
        <v>98</v>
      </c>
      <c r="AL226">
        <f t="shared" si="137"/>
        <v>50</v>
      </c>
      <c r="AM226">
        <f t="shared" si="138"/>
        <v>96</v>
      </c>
      <c r="AN226">
        <f t="shared" si="132"/>
        <v>80.000160000319994</v>
      </c>
      <c r="AO226">
        <f t="shared" si="139"/>
        <v>94</v>
      </c>
      <c r="AP226">
        <f t="shared" si="140"/>
        <v>76.700004800009594</v>
      </c>
      <c r="AQ226">
        <f t="shared" si="158"/>
        <v>4</v>
      </c>
      <c r="AR226" t="str">
        <f t="shared" si="141"/>
        <v>SHRINK-007</v>
      </c>
      <c r="AS226" s="15" t="s">
        <v>1006</v>
      </c>
      <c r="AT226" s="15" t="s">
        <v>1030</v>
      </c>
      <c r="AU226">
        <f t="shared" si="157"/>
        <v>40</v>
      </c>
      <c r="AV226">
        <f t="shared" si="142"/>
        <v>50</v>
      </c>
      <c r="AW226">
        <f t="shared" si="143"/>
        <v>98</v>
      </c>
      <c r="AX226">
        <f t="shared" si="144"/>
        <v>93</v>
      </c>
      <c r="AY226">
        <f t="shared" si="133"/>
        <v>80.000160000319994</v>
      </c>
      <c r="AZ226">
        <f t="shared" si="145"/>
        <v>96</v>
      </c>
      <c r="BA226">
        <f t="shared" si="146"/>
        <v>66.850008000016004</v>
      </c>
      <c r="BB226">
        <f t="shared" si="159"/>
        <v>6</v>
      </c>
      <c r="BC226" t="str">
        <f t="shared" si="147"/>
        <v>SHRINK-007</v>
      </c>
    </row>
    <row r="227" spans="2:55" ht="39.6" x14ac:dyDescent="0.3">
      <c r="B227" s="5" t="s">
        <v>731</v>
      </c>
      <c r="C227" s="15" t="s">
        <v>1006</v>
      </c>
      <c r="D227" s="5" t="s">
        <v>1032</v>
      </c>
      <c r="E227" s="5" t="s">
        <v>1033</v>
      </c>
      <c r="F227" s="5" t="s">
        <v>59</v>
      </c>
      <c r="G227" s="5">
        <v>200</v>
      </c>
      <c r="H227" s="5">
        <v>0.5</v>
      </c>
      <c r="I227" s="5">
        <v>60000</v>
      </c>
      <c r="J227" s="5">
        <v>30000</v>
      </c>
      <c r="K227" s="5">
        <v>7</v>
      </c>
      <c r="L227" s="5">
        <v>3</v>
      </c>
      <c r="M227" s="5">
        <v>7.0000000000000007E-2</v>
      </c>
      <c r="N227" s="5">
        <v>95</v>
      </c>
      <c r="O227" s="5">
        <v>45</v>
      </c>
      <c r="P227" s="5" t="s">
        <v>898</v>
      </c>
      <c r="Q227" s="5">
        <v>9.5</v>
      </c>
      <c r="R227" s="5">
        <v>9.1</v>
      </c>
      <c r="S227" s="5" t="s">
        <v>967</v>
      </c>
      <c r="T227" s="5">
        <v>9.5</v>
      </c>
      <c r="U227" s="5" t="s">
        <v>53</v>
      </c>
      <c r="V227" s="5" t="s">
        <v>46</v>
      </c>
      <c r="W227" s="5">
        <v>2</v>
      </c>
      <c r="X227" s="5" t="s">
        <v>38</v>
      </c>
      <c r="Y227" s="5">
        <v>28</v>
      </c>
      <c r="Z227" s="5">
        <v>9.1</v>
      </c>
      <c r="AA227" s="5" t="s">
        <v>1034</v>
      </c>
      <c r="AB227" s="5" t="s">
        <v>830</v>
      </c>
      <c r="AC227" s="5" t="s">
        <v>905</v>
      </c>
      <c r="AD227" s="5"/>
      <c r="AF227" s="15" t="s">
        <v>1006</v>
      </c>
      <c r="AG227" s="15" t="s">
        <v>1033</v>
      </c>
      <c r="AH227">
        <f t="shared" si="156"/>
        <v>0</v>
      </c>
      <c r="AI227">
        <f t="shared" si="134"/>
        <v>95</v>
      </c>
      <c r="AJ227" s="12">
        <f t="shared" si="135"/>
        <v>98.6</v>
      </c>
      <c r="AK227">
        <f t="shared" si="136"/>
        <v>95</v>
      </c>
      <c r="AL227">
        <f t="shared" si="137"/>
        <v>65</v>
      </c>
      <c r="AM227">
        <f t="shared" si="138"/>
        <v>60</v>
      </c>
      <c r="AN227">
        <f t="shared" si="132"/>
        <v>88.000176000351999</v>
      </c>
      <c r="AO227">
        <f t="shared" si="139"/>
        <v>91</v>
      </c>
      <c r="AP227">
        <f t="shared" si="140"/>
        <v>66.750005280010555</v>
      </c>
      <c r="AQ227">
        <f t="shared" si="158"/>
        <v>8</v>
      </c>
      <c r="AR227" t="str">
        <f t="shared" si="141"/>
        <v>SHRINK-008</v>
      </c>
      <c r="AS227" s="15" t="s">
        <v>1006</v>
      </c>
      <c r="AT227" s="15" t="s">
        <v>1033</v>
      </c>
      <c r="AU227">
        <f t="shared" si="157"/>
        <v>0</v>
      </c>
      <c r="AV227">
        <f t="shared" si="142"/>
        <v>65</v>
      </c>
      <c r="AW227">
        <f t="shared" si="143"/>
        <v>95</v>
      </c>
      <c r="AX227">
        <f t="shared" si="144"/>
        <v>95</v>
      </c>
      <c r="AY227">
        <f t="shared" si="133"/>
        <v>88.000176000351999</v>
      </c>
      <c r="AZ227">
        <f t="shared" si="145"/>
        <v>60</v>
      </c>
      <c r="BA227">
        <f t="shared" si="146"/>
        <v>56.900008800017602</v>
      </c>
      <c r="BB227">
        <f t="shared" si="159"/>
        <v>8</v>
      </c>
      <c r="BC227" t="str">
        <f t="shared" si="147"/>
        <v>SHRINK-008</v>
      </c>
    </row>
    <row r="228" spans="2:55" ht="39.6" x14ac:dyDescent="0.3">
      <c r="B228" s="5" t="s">
        <v>731</v>
      </c>
      <c r="C228" s="15" t="s">
        <v>1035</v>
      </c>
      <c r="D228" s="5" t="s">
        <v>1036</v>
      </c>
      <c r="E228" s="5" t="s">
        <v>1037</v>
      </c>
      <c r="F228" s="5" t="s">
        <v>72</v>
      </c>
      <c r="G228" s="5">
        <v>20</v>
      </c>
      <c r="H228" s="5">
        <v>25</v>
      </c>
      <c r="I228" s="5">
        <v>1000</v>
      </c>
      <c r="J228" s="5">
        <v>25000</v>
      </c>
      <c r="K228" s="5">
        <v>7</v>
      </c>
      <c r="L228" s="5">
        <v>3</v>
      </c>
      <c r="M228" s="5">
        <v>0.5</v>
      </c>
      <c r="N228" s="5">
        <v>97</v>
      </c>
      <c r="O228" s="5">
        <v>30</v>
      </c>
      <c r="P228" s="5" t="s">
        <v>1038</v>
      </c>
      <c r="Q228" s="5">
        <v>8.5</v>
      </c>
      <c r="R228" s="5">
        <v>9.5</v>
      </c>
      <c r="S228" s="5" t="s">
        <v>67</v>
      </c>
      <c r="T228" s="5">
        <v>8.1999999999999993</v>
      </c>
      <c r="U228" s="5" t="s">
        <v>53</v>
      </c>
      <c r="V228" s="5" t="s">
        <v>54</v>
      </c>
      <c r="W228" s="5">
        <v>1</v>
      </c>
      <c r="X228" s="5" t="s">
        <v>38</v>
      </c>
      <c r="Y228" s="5">
        <v>15</v>
      </c>
      <c r="Z228" s="5">
        <v>9.1999999999999993</v>
      </c>
      <c r="AA228" s="5" t="s">
        <v>47</v>
      </c>
      <c r="AB228" s="5" t="s">
        <v>1039</v>
      </c>
      <c r="AC228" s="5" t="s">
        <v>1040</v>
      </c>
      <c r="AD228" s="5"/>
      <c r="AF228" s="15" t="s">
        <v>1035</v>
      </c>
      <c r="AG228" s="15" t="s">
        <v>1037</v>
      </c>
      <c r="AH228">
        <f t="shared" ref="AH228:AH235" si="160">100-((H228-MIN($H$228:$H$235))/(MAX($H$228:$H$235)-MIN($H$228:$H$235))*100)</f>
        <v>74.074074074074076</v>
      </c>
      <c r="AI228">
        <f t="shared" si="134"/>
        <v>85</v>
      </c>
      <c r="AJ228" s="12">
        <f t="shared" si="135"/>
        <v>90</v>
      </c>
      <c r="AK228">
        <f t="shared" si="136"/>
        <v>97</v>
      </c>
      <c r="AL228">
        <f t="shared" si="137"/>
        <v>65</v>
      </c>
      <c r="AM228">
        <f t="shared" si="138"/>
        <v>96</v>
      </c>
      <c r="AN228">
        <f t="shared" si="132"/>
        <v>99.800199600399196</v>
      </c>
      <c r="AO228">
        <f t="shared" si="139"/>
        <v>92</v>
      </c>
      <c r="AP228">
        <f t="shared" si="140"/>
        <v>83.952524506530494</v>
      </c>
      <c r="AQ228">
        <f>RANK(AP228, $AP$228:$AP$235, 0)</f>
        <v>1</v>
      </c>
      <c r="AR228" t="str">
        <f t="shared" si="141"/>
        <v>ICE-001</v>
      </c>
      <c r="AS228" s="15" t="s">
        <v>1035</v>
      </c>
      <c r="AT228" s="15" t="s">
        <v>1037</v>
      </c>
      <c r="AU228">
        <f t="shared" ref="AU228:AU235" si="161">100-((H228-MIN($H$228:$H$235))/(MAX($H$228:$H$235)-MIN($H$228:$H$235))*100)</f>
        <v>74.074074074074076</v>
      </c>
      <c r="AV228">
        <f t="shared" si="142"/>
        <v>65</v>
      </c>
      <c r="AW228">
        <f t="shared" si="143"/>
        <v>97</v>
      </c>
      <c r="AX228">
        <f t="shared" si="144"/>
        <v>85</v>
      </c>
      <c r="AY228">
        <f t="shared" si="133"/>
        <v>99.800199600399196</v>
      </c>
      <c r="AZ228">
        <f t="shared" si="145"/>
        <v>96</v>
      </c>
      <c r="BA228">
        <f t="shared" si="146"/>
        <v>80.41223220224218</v>
      </c>
      <c r="BB228">
        <f>RANK(BA228, $BA$228:$BA$235, 0)</f>
        <v>1</v>
      </c>
      <c r="BC228" t="str">
        <f t="shared" si="147"/>
        <v>ICE-001</v>
      </c>
    </row>
    <row r="229" spans="2:55" ht="39.6" x14ac:dyDescent="0.3">
      <c r="B229" s="5" t="s">
        <v>731</v>
      </c>
      <c r="C229" s="15" t="s">
        <v>1035</v>
      </c>
      <c r="D229" s="5" t="s">
        <v>1041</v>
      </c>
      <c r="E229" s="5" t="s">
        <v>1042</v>
      </c>
      <c r="F229" s="5" t="s">
        <v>524</v>
      </c>
      <c r="G229" s="5">
        <v>30</v>
      </c>
      <c r="H229" s="5">
        <v>22</v>
      </c>
      <c r="I229" s="5">
        <v>2000</v>
      </c>
      <c r="J229" s="5">
        <v>44000</v>
      </c>
      <c r="K229" s="5">
        <v>10</v>
      </c>
      <c r="L229" s="5">
        <v>5</v>
      </c>
      <c r="M229" s="5">
        <v>0.8</v>
      </c>
      <c r="N229" s="5">
        <v>95</v>
      </c>
      <c r="O229" s="5">
        <v>45</v>
      </c>
      <c r="P229" s="5" t="s">
        <v>753</v>
      </c>
      <c r="Q229" s="5">
        <v>8</v>
      </c>
      <c r="R229" s="5">
        <v>9.1999999999999993</v>
      </c>
      <c r="S229" s="5" t="s">
        <v>52</v>
      </c>
      <c r="T229" s="5">
        <v>7.5</v>
      </c>
      <c r="U229" s="5" t="s">
        <v>81</v>
      </c>
      <c r="V229" s="5" t="s">
        <v>46</v>
      </c>
      <c r="W229" s="5">
        <v>2</v>
      </c>
      <c r="X229" s="5" t="s">
        <v>38</v>
      </c>
      <c r="Y229" s="5">
        <v>20</v>
      </c>
      <c r="Z229" s="5">
        <v>8.8000000000000007</v>
      </c>
      <c r="AA229" s="5" t="s">
        <v>1043</v>
      </c>
      <c r="AB229" s="5" t="s">
        <v>1044</v>
      </c>
      <c r="AC229" s="5" t="s">
        <v>1045</v>
      </c>
      <c r="AD229" s="5"/>
      <c r="AF229" s="15" t="s">
        <v>1035</v>
      </c>
      <c r="AG229" s="15" t="s">
        <v>1042</v>
      </c>
      <c r="AH229">
        <f t="shared" si="160"/>
        <v>85.18518518518519</v>
      </c>
      <c r="AI229">
        <f t="shared" si="134"/>
        <v>80</v>
      </c>
      <c r="AJ229" s="12">
        <f t="shared" si="135"/>
        <v>84</v>
      </c>
      <c r="AK229">
        <f t="shared" si="136"/>
        <v>95</v>
      </c>
      <c r="AL229">
        <f t="shared" si="137"/>
        <v>50</v>
      </c>
      <c r="AM229">
        <f t="shared" si="138"/>
        <v>94</v>
      </c>
      <c r="AN229">
        <f t="shared" si="132"/>
        <v>99.600199200398407</v>
      </c>
      <c r="AO229">
        <f t="shared" si="139"/>
        <v>88</v>
      </c>
      <c r="AP229">
        <f t="shared" si="140"/>
        <v>82.594302272308255</v>
      </c>
      <c r="AQ229">
        <f t="shared" ref="AQ229:AQ235" si="162">RANK(AP229, $AP$228:$AP$235, 0)</f>
        <v>2</v>
      </c>
      <c r="AR229" t="str">
        <f t="shared" si="141"/>
        <v>ICE-002</v>
      </c>
      <c r="AS229" s="15" t="s">
        <v>1035</v>
      </c>
      <c r="AT229" s="15" t="s">
        <v>1042</v>
      </c>
      <c r="AU229">
        <f t="shared" si="161"/>
        <v>85.18518518518519</v>
      </c>
      <c r="AV229">
        <f t="shared" si="142"/>
        <v>50</v>
      </c>
      <c r="AW229">
        <f t="shared" si="143"/>
        <v>95</v>
      </c>
      <c r="AX229">
        <f t="shared" si="144"/>
        <v>80</v>
      </c>
      <c r="AY229">
        <f t="shared" si="133"/>
        <v>99.600199200398407</v>
      </c>
      <c r="AZ229">
        <f t="shared" si="145"/>
        <v>94</v>
      </c>
      <c r="BA229">
        <f t="shared" si="146"/>
        <v>78.735565515575487</v>
      </c>
      <c r="BB229">
        <f t="shared" ref="BB229:BB235" si="163">RANK(BA229, $BA$228:$BA$235, 0)</f>
        <v>2</v>
      </c>
      <c r="BC229" t="str">
        <f t="shared" si="147"/>
        <v>ICE-002</v>
      </c>
    </row>
    <row r="230" spans="2:55" ht="39.6" x14ac:dyDescent="0.3">
      <c r="B230" s="5" t="s">
        <v>731</v>
      </c>
      <c r="C230" s="15" t="s">
        <v>1035</v>
      </c>
      <c r="D230" s="5" t="s">
        <v>1046</v>
      </c>
      <c r="E230" s="5" t="s">
        <v>1047</v>
      </c>
      <c r="F230" s="5" t="s">
        <v>223</v>
      </c>
      <c r="G230" s="5">
        <v>40</v>
      </c>
      <c r="H230" s="5">
        <v>30</v>
      </c>
      <c r="I230" s="5">
        <v>500</v>
      </c>
      <c r="J230" s="5">
        <v>15000</v>
      </c>
      <c r="K230" s="5">
        <v>5</v>
      </c>
      <c r="L230" s="5">
        <v>2</v>
      </c>
      <c r="M230" s="5">
        <v>0.3</v>
      </c>
      <c r="N230" s="5">
        <v>98</v>
      </c>
      <c r="O230" s="5">
        <v>30</v>
      </c>
      <c r="P230" s="5" t="s">
        <v>1048</v>
      </c>
      <c r="Q230" s="5">
        <v>9</v>
      </c>
      <c r="R230" s="5">
        <v>9.8000000000000007</v>
      </c>
      <c r="S230" s="5" t="s">
        <v>404</v>
      </c>
      <c r="T230" s="5">
        <v>9</v>
      </c>
      <c r="U230" s="5" t="s">
        <v>36</v>
      </c>
      <c r="V230" s="5" t="s">
        <v>37</v>
      </c>
      <c r="W230" s="5">
        <v>1</v>
      </c>
      <c r="X230" s="5" t="s">
        <v>38</v>
      </c>
      <c r="Y230" s="5">
        <v>10</v>
      </c>
      <c r="Z230" s="5">
        <v>9.5</v>
      </c>
      <c r="AA230" s="5" t="s">
        <v>1049</v>
      </c>
      <c r="AB230" s="5" t="s">
        <v>1050</v>
      </c>
      <c r="AC230" s="5" t="s">
        <v>1051</v>
      </c>
      <c r="AD230" s="5"/>
      <c r="AF230" s="15" t="s">
        <v>1035</v>
      </c>
      <c r="AG230" s="15" t="s">
        <v>1047</v>
      </c>
      <c r="AH230">
        <f t="shared" si="160"/>
        <v>55.555555555555557</v>
      </c>
      <c r="AI230">
        <f t="shared" si="134"/>
        <v>90</v>
      </c>
      <c r="AJ230" s="12">
        <f t="shared" si="135"/>
        <v>94</v>
      </c>
      <c r="AK230">
        <f t="shared" si="136"/>
        <v>98</v>
      </c>
      <c r="AL230">
        <f t="shared" si="137"/>
        <v>75</v>
      </c>
      <c r="AM230">
        <f t="shared" si="138"/>
        <v>92</v>
      </c>
      <c r="AN230">
        <f t="shared" si="132"/>
        <v>99.900199800399605</v>
      </c>
      <c r="AO230">
        <f t="shared" si="139"/>
        <v>95</v>
      </c>
      <c r="AP230">
        <f t="shared" si="140"/>
        <v>82.185894882900868</v>
      </c>
      <c r="AQ230">
        <f t="shared" si="162"/>
        <v>3</v>
      </c>
      <c r="AR230" t="str">
        <f t="shared" si="141"/>
        <v>ICE-003</v>
      </c>
      <c r="AS230" s="15" t="s">
        <v>1035</v>
      </c>
      <c r="AT230" s="15" t="s">
        <v>1047</v>
      </c>
      <c r="AU230">
        <f t="shared" si="161"/>
        <v>55.555555555555557</v>
      </c>
      <c r="AV230">
        <f t="shared" si="142"/>
        <v>75</v>
      </c>
      <c r="AW230">
        <f t="shared" si="143"/>
        <v>98</v>
      </c>
      <c r="AX230">
        <f t="shared" si="144"/>
        <v>90</v>
      </c>
      <c r="AY230">
        <f t="shared" si="133"/>
        <v>99.900199800399605</v>
      </c>
      <c r="AZ230">
        <f t="shared" si="145"/>
        <v>92</v>
      </c>
      <c r="BA230">
        <f t="shared" si="146"/>
        <v>78.111676656686654</v>
      </c>
      <c r="BB230">
        <f t="shared" si="163"/>
        <v>3</v>
      </c>
      <c r="BC230" t="str">
        <f t="shared" si="147"/>
        <v>ICE-003</v>
      </c>
    </row>
    <row r="231" spans="2:55" ht="39.6" x14ac:dyDescent="0.3">
      <c r="B231" s="5" t="s">
        <v>731</v>
      </c>
      <c r="C231" s="15" t="s">
        <v>1035</v>
      </c>
      <c r="D231" s="5" t="s">
        <v>1052</v>
      </c>
      <c r="E231" s="5" t="s">
        <v>1053</v>
      </c>
      <c r="F231" s="5" t="s">
        <v>78</v>
      </c>
      <c r="G231" s="5">
        <v>1400</v>
      </c>
      <c r="H231" s="5">
        <v>18</v>
      </c>
      <c r="I231" s="5">
        <v>5000</v>
      </c>
      <c r="J231" s="5">
        <v>90000</v>
      </c>
      <c r="K231" s="5">
        <v>14</v>
      </c>
      <c r="L231" s="5">
        <v>7</v>
      </c>
      <c r="M231" s="5">
        <v>1</v>
      </c>
      <c r="N231" s="5">
        <v>88</v>
      </c>
      <c r="O231" s="5">
        <v>90</v>
      </c>
      <c r="P231" s="5" t="s">
        <v>771</v>
      </c>
      <c r="Q231" s="5">
        <v>7</v>
      </c>
      <c r="R231" s="5">
        <v>8</v>
      </c>
      <c r="S231" s="5" t="s">
        <v>54</v>
      </c>
      <c r="T231" s="5">
        <v>6.5</v>
      </c>
      <c r="U231" s="5" t="s">
        <v>174</v>
      </c>
      <c r="V231" s="5" t="s">
        <v>54</v>
      </c>
      <c r="W231" s="5">
        <v>3</v>
      </c>
      <c r="X231" s="5" t="s">
        <v>68</v>
      </c>
      <c r="Y231" s="5">
        <v>5</v>
      </c>
      <c r="Z231" s="5">
        <v>6.5</v>
      </c>
      <c r="AA231" s="5" t="s">
        <v>54</v>
      </c>
      <c r="AB231" s="5" t="s">
        <v>1054</v>
      </c>
      <c r="AC231" s="5" t="s">
        <v>1055</v>
      </c>
      <c r="AD231" s="5"/>
      <c r="AF231" s="15" t="s">
        <v>1035</v>
      </c>
      <c r="AG231" s="15" t="s">
        <v>1053</v>
      </c>
      <c r="AH231">
        <f t="shared" si="160"/>
        <v>100</v>
      </c>
      <c r="AI231">
        <f t="shared" si="134"/>
        <v>70</v>
      </c>
      <c r="AJ231" s="12">
        <f t="shared" si="135"/>
        <v>80</v>
      </c>
      <c r="AK231">
        <f t="shared" si="136"/>
        <v>88</v>
      </c>
      <c r="AL231">
        <f t="shared" si="137"/>
        <v>30</v>
      </c>
      <c r="AM231">
        <f t="shared" si="138"/>
        <v>0</v>
      </c>
      <c r="AN231">
        <f t="shared" si="132"/>
        <v>99.000198000395997</v>
      </c>
      <c r="AO231">
        <f t="shared" si="139"/>
        <v>65</v>
      </c>
      <c r="AP231">
        <f t="shared" si="140"/>
        <v>74.970005940011873</v>
      </c>
      <c r="AQ231">
        <f t="shared" si="162"/>
        <v>5</v>
      </c>
      <c r="AR231" t="str">
        <f t="shared" si="141"/>
        <v>ICE-004</v>
      </c>
      <c r="AS231" s="15" t="s">
        <v>1035</v>
      </c>
      <c r="AT231" s="15" t="s">
        <v>1053</v>
      </c>
      <c r="AU231">
        <f t="shared" si="161"/>
        <v>100</v>
      </c>
      <c r="AV231">
        <f t="shared" si="142"/>
        <v>30</v>
      </c>
      <c r="AW231">
        <f t="shared" si="143"/>
        <v>88</v>
      </c>
      <c r="AX231">
        <f t="shared" si="144"/>
        <v>70</v>
      </c>
      <c r="AY231">
        <f t="shared" si="133"/>
        <v>99.000198000395997</v>
      </c>
      <c r="AZ231">
        <f t="shared" si="145"/>
        <v>0</v>
      </c>
      <c r="BA231">
        <f t="shared" si="146"/>
        <v>70.550009900019802</v>
      </c>
      <c r="BB231">
        <f t="shared" si="163"/>
        <v>5</v>
      </c>
      <c r="BC231" t="str">
        <f t="shared" si="147"/>
        <v>ICE-004</v>
      </c>
    </row>
    <row r="232" spans="2:55" ht="39.6" x14ac:dyDescent="0.3">
      <c r="B232" s="5" t="s">
        <v>731</v>
      </c>
      <c r="C232" s="15" t="s">
        <v>1035</v>
      </c>
      <c r="D232" s="5" t="s">
        <v>1056</v>
      </c>
      <c r="E232" s="5" t="s">
        <v>1057</v>
      </c>
      <c r="F232" s="5" t="s">
        <v>84</v>
      </c>
      <c r="G232" s="5">
        <v>150</v>
      </c>
      <c r="H232" s="5">
        <v>35</v>
      </c>
      <c r="I232" s="5">
        <v>800</v>
      </c>
      <c r="J232" s="5">
        <v>28000</v>
      </c>
      <c r="K232" s="5">
        <v>10</v>
      </c>
      <c r="L232" s="5">
        <v>5</v>
      </c>
      <c r="M232" s="5">
        <v>0.2</v>
      </c>
      <c r="N232" s="5">
        <v>94</v>
      </c>
      <c r="O232" s="5">
        <v>45</v>
      </c>
      <c r="P232" s="5" t="s">
        <v>1058</v>
      </c>
      <c r="Q232" s="5">
        <v>9.1999999999999993</v>
      </c>
      <c r="R232" s="5">
        <v>9</v>
      </c>
      <c r="S232" s="5" t="s">
        <v>206</v>
      </c>
      <c r="T232" s="5">
        <v>9.1999999999999993</v>
      </c>
      <c r="U232" s="5" t="s">
        <v>36</v>
      </c>
      <c r="V232" s="5" t="s">
        <v>46</v>
      </c>
      <c r="W232" s="5">
        <v>2</v>
      </c>
      <c r="X232" s="5" t="s">
        <v>38</v>
      </c>
      <c r="Y232" s="5">
        <v>25</v>
      </c>
      <c r="Z232" s="5">
        <v>9</v>
      </c>
      <c r="AA232" s="5" t="s">
        <v>40</v>
      </c>
      <c r="AB232" s="5" t="s">
        <v>1059</v>
      </c>
      <c r="AC232" s="5" t="s">
        <v>1060</v>
      </c>
      <c r="AD232" s="5"/>
      <c r="AF232" s="15" t="s">
        <v>1035</v>
      </c>
      <c r="AG232" s="15" t="s">
        <v>1057</v>
      </c>
      <c r="AH232">
        <f t="shared" si="160"/>
        <v>37.037037037037038</v>
      </c>
      <c r="AI232">
        <f t="shared" si="134"/>
        <v>92</v>
      </c>
      <c r="AJ232" s="12">
        <f t="shared" si="135"/>
        <v>96</v>
      </c>
      <c r="AK232">
        <f t="shared" si="136"/>
        <v>94</v>
      </c>
      <c r="AL232">
        <f t="shared" si="137"/>
        <v>50</v>
      </c>
      <c r="AM232">
        <f t="shared" si="138"/>
        <v>70</v>
      </c>
      <c r="AN232">
        <f t="shared" si="132"/>
        <v>99.840199680399365</v>
      </c>
      <c r="AO232">
        <f t="shared" si="139"/>
        <v>90</v>
      </c>
      <c r="AP232">
        <f t="shared" si="140"/>
        <v>74.054465249671239</v>
      </c>
      <c r="AQ232">
        <f t="shared" si="162"/>
        <v>7</v>
      </c>
      <c r="AR232" t="str">
        <f t="shared" si="141"/>
        <v>ICE-005</v>
      </c>
      <c r="AS232" s="15" t="s">
        <v>1035</v>
      </c>
      <c r="AT232" s="15" t="s">
        <v>1057</v>
      </c>
      <c r="AU232">
        <f t="shared" si="161"/>
        <v>37.037037037037038</v>
      </c>
      <c r="AV232">
        <f t="shared" si="142"/>
        <v>50</v>
      </c>
      <c r="AW232">
        <f t="shared" si="143"/>
        <v>94</v>
      </c>
      <c r="AX232">
        <f t="shared" si="144"/>
        <v>92</v>
      </c>
      <c r="AY232">
        <f t="shared" si="133"/>
        <v>99.840199680399365</v>
      </c>
      <c r="AZ232">
        <f t="shared" si="145"/>
        <v>70</v>
      </c>
      <c r="BA232">
        <f t="shared" si="146"/>
        <v>64.703121095131081</v>
      </c>
      <c r="BB232">
        <f t="shared" si="163"/>
        <v>6</v>
      </c>
      <c r="BC232" t="str">
        <f t="shared" si="147"/>
        <v>ICE-005</v>
      </c>
    </row>
    <row r="233" spans="2:55" ht="39.6" x14ac:dyDescent="0.3">
      <c r="B233" s="5" t="s">
        <v>731</v>
      </c>
      <c r="C233" s="15" t="s">
        <v>1035</v>
      </c>
      <c r="D233" s="5" t="s">
        <v>1061</v>
      </c>
      <c r="E233" s="5" t="s">
        <v>1062</v>
      </c>
      <c r="F233" s="5" t="s">
        <v>33</v>
      </c>
      <c r="G233" s="5">
        <v>65</v>
      </c>
      <c r="H233" s="5">
        <v>28</v>
      </c>
      <c r="I233" s="5">
        <v>1500</v>
      </c>
      <c r="J233" s="5">
        <v>42000</v>
      </c>
      <c r="K233" s="5">
        <v>7</v>
      </c>
      <c r="L233" s="5">
        <v>3</v>
      </c>
      <c r="M233" s="5">
        <v>0.4</v>
      </c>
      <c r="N233" s="5">
        <v>96</v>
      </c>
      <c r="O233" s="5">
        <v>60</v>
      </c>
      <c r="P233" s="5" t="s">
        <v>924</v>
      </c>
      <c r="Q233" s="5">
        <v>8.8000000000000007</v>
      </c>
      <c r="R233" s="5">
        <v>9.3000000000000007</v>
      </c>
      <c r="S233" s="5" t="s">
        <v>67</v>
      </c>
      <c r="T233" s="5">
        <v>8.8000000000000007</v>
      </c>
      <c r="U233" s="5" t="s">
        <v>53</v>
      </c>
      <c r="V233" s="5" t="s">
        <v>37</v>
      </c>
      <c r="W233" s="5">
        <v>2</v>
      </c>
      <c r="X233" s="5" t="s">
        <v>38</v>
      </c>
      <c r="Y233" s="5">
        <v>18</v>
      </c>
      <c r="Z233" s="5">
        <v>9.3000000000000007</v>
      </c>
      <c r="AA233" s="5" t="s">
        <v>1063</v>
      </c>
      <c r="AB233" s="5" t="s">
        <v>847</v>
      </c>
      <c r="AC233" s="5" t="s">
        <v>851</v>
      </c>
      <c r="AD233" s="5"/>
      <c r="AF233" s="15" t="s">
        <v>1035</v>
      </c>
      <c r="AG233" s="15" t="s">
        <v>1062</v>
      </c>
      <c r="AH233">
        <f t="shared" si="160"/>
        <v>62.962962962962962</v>
      </c>
      <c r="AI233">
        <f t="shared" si="134"/>
        <v>88</v>
      </c>
      <c r="AJ233" s="12">
        <f t="shared" si="135"/>
        <v>92</v>
      </c>
      <c r="AK233">
        <f t="shared" si="136"/>
        <v>96</v>
      </c>
      <c r="AL233">
        <f t="shared" si="137"/>
        <v>65</v>
      </c>
      <c r="AM233">
        <f t="shared" si="138"/>
        <v>87</v>
      </c>
      <c r="AN233">
        <f t="shared" si="132"/>
        <v>99.700199400398802</v>
      </c>
      <c r="AO233">
        <f t="shared" si="139"/>
        <v>93</v>
      </c>
      <c r="AP233">
        <f t="shared" si="140"/>
        <v>81.6417467227527</v>
      </c>
      <c r="AQ233">
        <f t="shared" si="162"/>
        <v>4</v>
      </c>
      <c r="AR233" t="str">
        <f t="shared" si="141"/>
        <v>ICE-006</v>
      </c>
      <c r="AS233" s="15" t="s">
        <v>1035</v>
      </c>
      <c r="AT233" s="15" t="s">
        <v>1062</v>
      </c>
      <c r="AU233">
        <f t="shared" si="161"/>
        <v>62.962962962962962</v>
      </c>
      <c r="AV233">
        <f t="shared" si="142"/>
        <v>65</v>
      </c>
      <c r="AW233">
        <f t="shared" si="143"/>
        <v>96</v>
      </c>
      <c r="AX233">
        <f t="shared" si="144"/>
        <v>88</v>
      </c>
      <c r="AY233">
        <f t="shared" si="133"/>
        <v>99.700199400398802</v>
      </c>
      <c r="AZ233">
        <f t="shared" si="145"/>
        <v>87</v>
      </c>
      <c r="BA233">
        <f t="shared" si="146"/>
        <v>76.873898858908831</v>
      </c>
      <c r="BB233">
        <f t="shared" si="163"/>
        <v>4</v>
      </c>
      <c r="BC233" t="str">
        <f t="shared" si="147"/>
        <v>ICE-006</v>
      </c>
    </row>
    <row r="234" spans="2:55" ht="39.6" x14ac:dyDescent="0.3">
      <c r="B234" s="5" t="s">
        <v>731</v>
      </c>
      <c r="C234" s="15" t="s">
        <v>1035</v>
      </c>
      <c r="D234" s="5" t="s">
        <v>1064</v>
      </c>
      <c r="E234" s="5" t="s">
        <v>1065</v>
      </c>
      <c r="F234" s="5" t="s">
        <v>59</v>
      </c>
      <c r="G234" s="5">
        <v>200</v>
      </c>
      <c r="H234" s="5">
        <v>32</v>
      </c>
      <c r="I234" s="5">
        <v>600</v>
      </c>
      <c r="J234" s="5">
        <v>19200</v>
      </c>
      <c r="K234" s="5">
        <v>14</v>
      </c>
      <c r="L234" s="5">
        <v>7</v>
      </c>
      <c r="M234" s="5">
        <v>0.3</v>
      </c>
      <c r="N234" s="5">
        <v>95</v>
      </c>
      <c r="O234" s="5">
        <v>45</v>
      </c>
      <c r="P234" s="5" t="s">
        <v>1066</v>
      </c>
      <c r="Q234" s="5">
        <v>9.5</v>
      </c>
      <c r="R234" s="5">
        <v>8.8000000000000007</v>
      </c>
      <c r="S234" s="5" t="s">
        <v>761</v>
      </c>
      <c r="T234" s="5">
        <v>9.8000000000000007</v>
      </c>
      <c r="U234" s="5" t="s">
        <v>53</v>
      </c>
      <c r="V234" s="5" t="s">
        <v>54</v>
      </c>
      <c r="W234" s="5">
        <v>2</v>
      </c>
      <c r="X234" s="5" t="s">
        <v>38</v>
      </c>
      <c r="Y234" s="5">
        <v>30</v>
      </c>
      <c r="Z234" s="5">
        <v>8.8000000000000007</v>
      </c>
      <c r="AA234" s="5" t="s">
        <v>886</v>
      </c>
      <c r="AB234" s="5" t="s">
        <v>1039</v>
      </c>
      <c r="AC234" s="5" t="s">
        <v>1040</v>
      </c>
      <c r="AD234" s="5"/>
      <c r="AF234" s="15" t="s">
        <v>1035</v>
      </c>
      <c r="AG234" s="15" t="s">
        <v>1065</v>
      </c>
      <c r="AH234">
        <f t="shared" si="160"/>
        <v>48.148148148148152</v>
      </c>
      <c r="AI234">
        <f t="shared" si="134"/>
        <v>95</v>
      </c>
      <c r="AJ234" s="12">
        <f t="shared" si="135"/>
        <v>94</v>
      </c>
      <c r="AK234">
        <f t="shared" si="136"/>
        <v>95</v>
      </c>
      <c r="AL234">
        <f t="shared" si="137"/>
        <v>30</v>
      </c>
      <c r="AM234">
        <f t="shared" si="138"/>
        <v>60</v>
      </c>
      <c r="AN234">
        <f t="shared" si="132"/>
        <v>99.88019976039952</v>
      </c>
      <c r="AO234">
        <f t="shared" si="139"/>
        <v>88</v>
      </c>
      <c r="AP234">
        <f t="shared" si="140"/>
        <v>74.893443029849024</v>
      </c>
      <c r="AQ234">
        <f t="shared" si="162"/>
        <v>6</v>
      </c>
      <c r="AR234" t="str">
        <f t="shared" si="141"/>
        <v>ICE-007</v>
      </c>
      <c r="AS234" s="15" t="s">
        <v>1035</v>
      </c>
      <c r="AT234" s="15" t="s">
        <v>1065</v>
      </c>
      <c r="AU234">
        <f t="shared" si="161"/>
        <v>48.148148148148152</v>
      </c>
      <c r="AV234">
        <f t="shared" si="142"/>
        <v>30</v>
      </c>
      <c r="AW234">
        <f t="shared" si="143"/>
        <v>95</v>
      </c>
      <c r="AX234">
        <f t="shared" si="144"/>
        <v>95</v>
      </c>
      <c r="AY234">
        <f t="shared" si="133"/>
        <v>99.88019976039952</v>
      </c>
      <c r="AZ234">
        <f t="shared" si="145"/>
        <v>60</v>
      </c>
      <c r="BA234">
        <f t="shared" si="146"/>
        <v>63.188454432464418</v>
      </c>
      <c r="BB234">
        <f t="shared" si="163"/>
        <v>7</v>
      </c>
      <c r="BC234" t="str">
        <f t="shared" si="147"/>
        <v>ICE-007</v>
      </c>
    </row>
    <row r="235" spans="2:55" ht="39.6" x14ac:dyDescent="0.3">
      <c r="B235" s="5" t="s">
        <v>731</v>
      </c>
      <c r="C235" s="15" t="s">
        <v>1035</v>
      </c>
      <c r="D235" s="5" t="s">
        <v>1067</v>
      </c>
      <c r="E235" s="5" t="s">
        <v>1068</v>
      </c>
      <c r="F235" s="5" t="s">
        <v>72</v>
      </c>
      <c r="G235" s="5">
        <v>15</v>
      </c>
      <c r="H235" s="5">
        <v>45</v>
      </c>
      <c r="I235" s="5">
        <v>400</v>
      </c>
      <c r="J235" s="5">
        <v>18000</v>
      </c>
      <c r="K235" s="5">
        <v>21</v>
      </c>
      <c r="L235" s="5">
        <v>10</v>
      </c>
      <c r="M235" s="5">
        <v>0.1</v>
      </c>
      <c r="N235" s="5">
        <v>93</v>
      </c>
      <c r="O235" s="5">
        <v>30</v>
      </c>
      <c r="P235" s="5" t="s">
        <v>1069</v>
      </c>
      <c r="Q235" s="5">
        <v>9.8000000000000007</v>
      </c>
      <c r="R235" s="5">
        <v>9.1</v>
      </c>
      <c r="S235" s="5" t="s">
        <v>1070</v>
      </c>
      <c r="T235" s="5">
        <v>9.8000000000000007</v>
      </c>
      <c r="U235" s="5" t="s">
        <v>36</v>
      </c>
      <c r="V235" s="5" t="s">
        <v>37</v>
      </c>
      <c r="W235" s="5">
        <v>1</v>
      </c>
      <c r="X235" s="5" t="s">
        <v>38</v>
      </c>
      <c r="Y235" s="5">
        <v>40</v>
      </c>
      <c r="Z235" s="5">
        <v>9.1</v>
      </c>
      <c r="AA235" s="5" t="s">
        <v>1071</v>
      </c>
      <c r="AB235" s="5" t="s">
        <v>1044</v>
      </c>
      <c r="AC235" s="5" t="s">
        <v>1072</v>
      </c>
      <c r="AD235" s="5"/>
      <c r="AF235" s="15" t="s">
        <v>1035</v>
      </c>
      <c r="AG235" s="15" t="s">
        <v>1068</v>
      </c>
      <c r="AH235">
        <f t="shared" si="160"/>
        <v>0</v>
      </c>
      <c r="AI235">
        <f t="shared" si="134"/>
        <v>98</v>
      </c>
      <c r="AJ235" s="12">
        <f t="shared" si="135"/>
        <v>98</v>
      </c>
      <c r="AK235">
        <f t="shared" si="136"/>
        <v>93</v>
      </c>
      <c r="AL235">
        <f t="shared" si="137"/>
        <v>0</v>
      </c>
      <c r="AM235">
        <f t="shared" si="138"/>
        <v>97</v>
      </c>
      <c r="AN235">
        <f t="shared" si="132"/>
        <v>99.920199840399675</v>
      </c>
      <c r="AO235">
        <f t="shared" si="139"/>
        <v>91</v>
      </c>
      <c r="AP235">
        <f t="shared" si="140"/>
        <v>62.817605995211999</v>
      </c>
      <c r="AQ235">
        <f t="shared" si="162"/>
        <v>8</v>
      </c>
      <c r="AR235" t="str">
        <f t="shared" si="141"/>
        <v>ICE-008</v>
      </c>
      <c r="AS235" s="15" t="s">
        <v>1035</v>
      </c>
      <c r="AT235" s="15" t="s">
        <v>1068</v>
      </c>
      <c r="AU235">
        <f t="shared" si="161"/>
        <v>0</v>
      </c>
      <c r="AV235">
        <f t="shared" si="142"/>
        <v>0</v>
      </c>
      <c r="AW235">
        <f t="shared" si="143"/>
        <v>93</v>
      </c>
      <c r="AX235">
        <f t="shared" si="144"/>
        <v>98</v>
      </c>
      <c r="AY235">
        <f t="shared" si="133"/>
        <v>99.920199840399675</v>
      </c>
      <c r="AZ235">
        <f t="shared" si="145"/>
        <v>97</v>
      </c>
      <c r="BA235">
        <f t="shared" si="146"/>
        <v>43.146009992019984</v>
      </c>
      <c r="BB235">
        <f t="shared" si="163"/>
        <v>8</v>
      </c>
      <c r="BC235" t="str">
        <f t="shared" si="147"/>
        <v>ICE-008</v>
      </c>
    </row>
    <row r="236" spans="2:55" ht="39.6" x14ac:dyDescent="0.3">
      <c r="B236" s="5" t="s">
        <v>731</v>
      </c>
      <c r="C236" s="15" t="s">
        <v>1073</v>
      </c>
      <c r="D236" s="5" t="s">
        <v>1074</v>
      </c>
      <c r="E236" s="5" t="s">
        <v>1075</v>
      </c>
      <c r="F236" s="5" t="s">
        <v>72</v>
      </c>
      <c r="G236" s="5">
        <v>15</v>
      </c>
      <c r="H236" s="5">
        <v>180</v>
      </c>
      <c r="I236" s="5">
        <v>500</v>
      </c>
      <c r="J236" s="5">
        <v>90000</v>
      </c>
      <c r="K236" s="5">
        <v>14</v>
      </c>
      <c r="L236" s="5">
        <v>7</v>
      </c>
      <c r="M236" s="5">
        <v>0.2</v>
      </c>
      <c r="N236" s="5">
        <v>98</v>
      </c>
      <c r="O236" s="5">
        <v>30</v>
      </c>
      <c r="P236" s="5" t="s">
        <v>1076</v>
      </c>
      <c r="Q236" s="5">
        <v>9</v>
      </c>
      <c r="R236" s="5">
        <v>9.8000000000000007</v>
      </c>
      <c r="S236" s="5" t="s">
        <v>67</v>
      </c>
      <c r="T236" s="5">
        <v>8.5</v>
      </c>
      <c r="U236" s="5" t="s">
        <v>36</v>
      </c>
      <c r="V236" s="5" t="s">
        <v>37</v>
      </c>
      <c r="W236" s="5">
        <v>2</v>
      </c>
      <c r="X236" s="5" t="s">
        <v>38</v>
      </c>
      <c r="Y236" s="5">
        <v>30</v>
      </c>
      <c r="Z236" s="5">
        <v>9.5</v>
      </c>
      <c r="AA236" s="5" t="s">
        <v>47</v>
      </c>
      <c r="AB236" s="5" t="s">
        <v>1077</v>
      </c>
      <c r="AC236" s="5" t="s">
        <v>1078</v>
      </c>
      <c r="AD236" s="5" t="s">
        <v>141</v>
      </c>
      <c r="AF236" s="15" t="s">
        <v>1073</v>
      </c>
      <c r="AG236" s="15" t="s">
        <v>1075</v>
      </c>
      <c r="AH236">
        <f t="shared" ref="AH236:AH243" si="164">100-((H236-MIN($H$236:$H$243))/(MAX($H$236:$H$243)-MIN($H$236:$H$243))*100)</f>
        <v>76.92307692307692</v>
      </c>
      <c r="AI236">
        <f t="shared" si="134"/>
        <v>90</v>
      </c>
      <c r="AJ236" s="12">
        <f t="shared" si="135"/>
        <v>96</v>
      </c>
      <c r="AK236">
        <f t="shared" si="136"/>
        <v>98</v>
      </c>
      <c r="AL236">
        <f t="shared" si="137"/>
        <v>30</v>
      </c>
      <c r="AM236">
        <f t="shared" si="138"/>
        <v>97</v>
      </c>
      <c r="AN236">
        <f t="shared" si="132"/>
        <v>99.900199800399605</v>
      </c>
      <c r="AO236">
        <f t="shared" si="139"/>
        <v>95</v>
      </c>
      <c r="AP236">
        <f t="shared" si="140"/>
        <v>83.577775224781206</v>
      </c>
      <c r="AQ236">
        <f>RANK(AP236, $AP$236:$AP$243, 0)</f>
        <v>1</v>
      </c>
      <c r="AR236" t="str">
        <f t="shared" si="141"/>
        <v>CRATE-001</v>
      </c>
      <c r="AS236" s="15" t="s">
        <v>1073</v>
      </c>
      <c r="AT236" s="15" t="s">
        <v>1075</v>
      </c>
      <c r="AU236">
        <f t="shared" ref="AU236:AU243" si="165">100-((H236-MIN($H$236:$H$243))/(MAX($H$236:$H$243)-MIN($H$236:$H$243))*100)</f>
        <v>76.92307692307692</v>
      </c>
      <c r="AV236">
        <f t="shared" si="142"/>
        <v>30</v>
      </c>
      <c r="AW236">
        <f t="shared" si="143"/>
        <v>98</v>
      </c>
      <c r="AX236">
        <f t="shared" si="144"/>
        <v>90</v>
      </c>
      <c r="AY236">
        <f t="shared" si="133"/>
        <v>99.900199800399605</v>
      </c>
      <c r="AZ236">
        <f t="shared" si="145"/>
        <v>97</v>
      </c>
      <c r="BA236">
        <f t="shared" si="146"/>
        <v>73.521933066943049</v>
      </c>
      <c r="BB236">
        <f>RANK(BA236, $BA$236:$BA$243, 0)</f>
        <v>1</v>
      </c>
      <c r="BC236" t="str">
        <f t="shared" si="147"/>
        <v>CRATE-001</v>
      </c>
    </row>
    <row r="237" spans="2:55" ht="39.6" x14ac:dyDescent="0.3">
      <c r="B237" s="5" t="s">
        <v>731</v>
      </c>
      <c r="C237" s="15" t="s">
        <v>1073</v>
      </c>
      <c r="D237" s="5" t="s">
        <v>1079</v>
      </c>
      <c r="E237" s="5" t="s">
        <v>1080</v>
      </c>
      <c r="F237" s="5" t="s">
        <v>524</v>
      </c>
      <c r="G237" s="5">
        <v>30</v>
      </c>
      <c r="H237" s="5">
        <v>200</v>
      </c>
      <c r="I237" s="5">
        <v>1000</v>
      </c>
      <c r="J237" s="5">
        <v>200000</v>
      </c>
      <c r="K237" s="5">
        <v>21</v>
      </c>
      <c r="L237" s="5">
        <v>10</v>
      </c>
      <c r="M237" s="5">
        <v>0.3</v>
      </c>
      <c r="N237" s="5">
        <v>96</v>
      </c>
      <c r="O237" s="5">
        <v>45</v>
      </c>
      <c r="P237" s="5" t="s">
        <v>1069</v>
      </c>
      <c r="Q237" s="5">
        <v>8.5</v>
      </c>
      <c r="R237" s="5">
        <v>9.5</v>
      </c>
      <c r="S237" s="5" t="s">
        <v>52</v>
      </c>
      <c r="T237" s="5">
        <v>8</v>
      </c>
      <c r="U237" s="5" t="s">
        <v>53</v>
      </c>
      <c r="V237" s="5" t="s">
        <v>46</v>
      </c>
      <c r="W237" s="5">
        <v>3</v>
      </c>
      <c r="X237" s="5" t="s">
        <v>38</v>
      </c>
      <c r="Y237" s="5">
        <v>45</v>
      </c>
      <c r="Z237" s="5">
        <v>9</v>
      </c>
      <c r="AA237" s="5" t="s">
        <v>1081</v>
      </c>
      <c r="AB237" s="5" t="s">
        <v>1082</v>
      </c>
      <c r="AC237" s="5" t="s">
        <v>1083</v>
      </c>
      <c r="AD237" s="5" t="s">
        <v>141</v>
      </c>
      <c r="AF237" s="15" t="s">
        <v>1073</v>
      </c>
      <c r="AG237" s="15" t="s">
        <v>1080</v>
      </c>
      <c r="AH237">
        <f t="shared" si="164"/>
        <v>61.538461538461533</v>
      </c>
      <c r="AI237">
        <f t="shared" si="134"/>
        <v>85</v>
      </c>
      <c r="AJ237" s="12">
        <f t="shared" si="135"/>
        <v>94</v>
      </c>
      <c r="AK237">
        <f t="shared" si="136"/>
        <v>96</v>
      </c>
      <c r="AL237">
        <f t="shared" si="137"/>
        <v>0</v>
      </c>
      <c r="AM237">
        <f t="shared" si="138"/>
        <v>94</v>
      </c>
      <c r="AN237">
        <f t="shared" si="132"/>
        <v>99.800199600399196</v>
      </c>
      <c r="AO237">
        <f t="shared" si="139"/>
        <v>90</v>
      </c>
      <c r="AP237">
        <f t="shared" si="140"/>
        <v>74.628621372627364</v>
      </c>
      <c r="AQ237">
        <f t="shared" ref="AQ237:AQ243" si="166">RANK(AP237, $AP$236:$AP$243, 0)</f>
        <v>4</v>
      </c>
      <c r="AR237" t="str">
        <f t="shared" si="141"/>
        <v>CRATE-002</v>
      </c>
      <c r="AS237" s="15" t="s">
        <v>1073</v>
      </c>
      <c r="AT237" s="15" t="s">
        <v>1080</v>
      </c>
      <c r="AU237">
        <f t="shared" si="165"/>
        <v>61.538461538461533</v>
      </c>
      <c r="AV237">
        <f t="shared" si="142"/>
        <v>0</v>
      </c>
      <c r="AW237">
        <f t="shared" si="143"/>
        <v>96</v>
      </c>
      <c r="AX237">
        <f t="shared" si="144"/>
        <v>85</v>
      </c>
      <c r="AY237">
        <f t="shared" si="133"/>
        <v>99.800199600399196</v>
      </c>
      <c r="AZ237">
        <f t="shared" si="145"/>
        <v>94</v>
      </c>
      <c r="BA237">
        <f t="shared" si="146"/>
        <v>60.101548441558428</v>
      </c>
      <c r="BB237">
        <f t="shared" ref="BB237:BB243" si="167">RANK(BA237, $BA$236:$BA$243, 0)</f>
        <v>5</v>
      </c>
      <c r="BC237" t="str">
        <f t="shared" si="147"/>
        <v>CRATE-002</v>
      </c>
    </row>
    <row r="238" spans="2:55" ht="39.6" x14ac:dyDescent="0.3">
      <c r="B238" s="5" t="s">
        <v>731</v>
      </c>
      <c r="C238" s="15" t="s">
        <v>1073</v>
      </c>
      <c r="D238" s="5" t="s">
        <v>1084</v>
      </c>
      <c r="E238" s="5" t="s">
        <v>1085</v>
      </c>
      <c r="F238" s="5" t="s">
        <v>223</v>
      </c>
      <c r="G238" s="5">
        <v>40</v>
      </c>
      <c r="H238" s="5">
        <v>250</v>
      </c>
      <c r="I238" s="5">
        <v>200</v>
      </c>
      <c r="J238" s="5">
        <v>50000</v>
      </c>
      <c r="K238" s="5">
        <v>10</v>
      </c>
      <c r="L238" s="5">
        <v>5</v>
      </c>
      <c r="M238" s="5">
        <v>0.1</v>
      </c>
      <c r="N238" s="5">
        <v>99</v>
      </c>
      <c r="O238" s="5">
        <v>30</v>
      </c>
      <c r="P238" s="5" t="s">
        <v>1086</v>
      </c>
      <c r="Q238" s="5">
        <v>9.5</v>
      </c>
      <c r="R238" s="5">
        <v>9.9</v>
      </c>
      <c r="S238" s="5" t="s">
        <v>404</v>
      </c>
      <c r="T238" s="5">
        <v>9.1999999999999993</v>
      </c>
      <c r="U238" s="5" t="s">
        <v>36</v>
      </c>
      <c r="V238" s="5" t="s">
        <v>37</v>
      </c>
      <c r="W238" s="5">
        <v>1</v>
      </c>
      <c r="X238" s="5" t="s">
        <v>38</v>
      </c>
      <c r="Y238" s="5">
        <v>20</v>
      </c>
      <c r="Z238" s="5">
        <v>9.9</v>
      </c>
      <c r="AA238" s="5" t="s">
        <v>40</v>
      </c>
      <c r="AB238" s="5" t="s">
        <v>1087</v>
      </c>
      <c r="AC238" s="5" t="s">
        <v>823</v>
      </c>
      <c r="AD238" s="5" t="s">
        <v>141</v>
      </c>
      <c r="AF238" s="15" t="s">
        <v>1073</v>
      </c>
      <c r="AG238" s="15" t="s">
        <v>1085</v>
      </c>
      <c r="AH238">
        <f t="shared" si="164"/>
        <v>23.076923076923066</v>
      </c>
      <c r="AI238">
        <f t="shared" si="134"/>
        <v>95</v>
      </c>
      <c r="AJ238" s="12">
        <f t="shared" si="135"/>
        <v>98</v>
      </c>
      <c r="AK238">
        <f t="shared" si="136"/>
        <v>99</v>
      </c>
      <c r="AL238">
        <f t="shared" si="137"/>
        <v>50</v>
      </c>
      <c r="AM238">
        <f t="shared" si="138"/>
        <v>92</v>
      </c>
      <c r="AN238">
        <f t="shared" si="132"/>
        <v>99.960199920399845</v>
      </c>
      <c r="AO238">
        <f t="shared" si="139"/>
        <v>99</v>
      </c>
      <c r="AP238">
        <f t="shared" si="140"/>
        <v>73.64803676684275</v>
      </c>
      <c r="AQ238">
        <f t="shared" si="166"/>
        <v>5</v>
      </c>
      <c r="AR238" t="str">
        <f t="shared" si="141"/>
        <v>CRATE-003</v>
      </c>
      <c r="AS238" s="15" t="s">
        <v>1073</v>
      </c>
      <c r="AT238" s="15" t="s">
        <v>1085</v>
      </c>
      <c r="AU238">
        <f t="shared" si="165"/>
        <v>23.076923076923066</v>
      </c>
      <c r="AV238">
        <f t="shared" si="142"/>
        <v>50</v>
      </c>
      <c r="AW238">
        <f t="shared" si="143"/>
        <v>99</v>
      </c>
      <c r="AX238">
        <f t="shared" si="144"/>
        <v>95</v>
      </c>
      <c r="AY238">
        <f t="shared" si="133"/>
        <v>99.960199920399845</v>
      </c>
      <c r="AZ238">
        <f t="shared" si="145"/>
        <v>92</v>
      </c>
      <c r="BA238">
        <f t="shared" si="146"/>
        <v>63.071086919096913</v>
      </c>
      <c r="BB238">
        <f t="shared" si="167"/>
        <v>4</v>
      </c>
      <c r="BC238" t="str">
        <f t="shared" si="147"/>
        <v>CRATE-003</v>
      </c>
    </row>
    <row r="239" spans="2:55" ht="39.6" x14ac:dyDescent="0.3">
      <c r="B239" s="5" t="s">
        <v>731</v>
      </c>
      <c r="C239" s="15" t="s">
        <v>1073</v>
      </c>
      <c r="D239" s="5" t="s">
        <v>1088</v>
      </c>
      <c r="E239" s="5" t="s">
        <v>1089</v>
      </c>
      <c r="F239" s="5" t="s">
        <v>78</v>
      </c>
      <c r="G239" s="5">
        <v>1400</v>
      </c>
      <c r="H239" s="5">
        <v>150</v>
      </c>
      <c r="I239" s="5">
        <v>2000</v>
      </c>
      <c r="J239" s="5">
        <v>300000</v>
      </c>
      <c r="K239" s="5">
        <v>30</v>
      </c>
      <c r="L239" s="5">
        <v>15</v>
      </c>
      <c r="M239" s="5">
        <v>0.5</v>
      </c>
      <c r="N239" s="5">
        <v>90</v>
      </c>
      <c r="O239" s="5">
        <v>90</v>
      </c>
      <c r="P239" s="5" t="s">
        <v>1038</v>
      </c>
      <c r="Q239" s="5">
        <v>7.5</v>
      </c>
      <c r="R239" s="5">
        <v>8.5</v>
      </c>
      <c r="S239" s="5" t="s">
        <v>54</v>
      </c>
      <c r="T239" s="5">
        <v>6.5</v>
      </c>
      <c r="U239" s="5" t="s">
        <v>174</v>
      </c>
      <c r="V239" s="5" t="s">
        <v>54</v>
      </c>
      <c r="W239" s="5">
        <v>3</v>
      </c>
      <c r="X239" s="5" t="s">
        <v>68</v>
      </c>
      <c r="Y239" s="5">
        <v>10</v>
      </c>
      <c r="Z239" s="5">
        <v>6.5</v>
      </c>
      <c r="AA239" s="5" t="s">
        <v>54</v>
      </c>
      <c r="AB239" s="5" t="s">
        <v>1090</v>
      </c>
      <c r="AC239" s="5" t="s">
        <v>766</v>
      </c>
      <c r="AD239" s="5" t="s">
        <v>141</v>
      </c>
      <c r="AF239" s="15" t="s">
        <v>1073</v>
      </c>
      <c r="AG239" s="15" t="s">
        <v>1089</v>
      </c>
      <c r="AH239">
        <f t="shared" si="164"/>
        <v>100</v>
      </c>
      <c r="AI239">
        <f t="shared" si="134"/>
        <v>75</v>
      </c>
      <c r="AJ239" s="12">
        <f t="shared" si="135"/>
        <v>90</v>
      </c>
      <c r="AK239">
        <f t="shared" si="136"/>
        <v>90</v>
      </c>
      <c r="AL239">
        <f t="shared" si="137"/>
        <v>0</v>
      </c>
      <c r="AM239">
        <f t="shared" si="138"/>
        <v>0</v>
      </c>
      <c r="AN239">
        <f t="shared" si="132"/>
        <v>99.600199200398407</v>
      </c>
      <c r="AO239">
        <f t="shared" si="139"/>
        <v>65</v>
      </c>
      <c r="AP239">
        <f t="shared" si="140"/>
        <v>75.038005976011945</v>
      </c>
      <c r="AQ239">
        <f t="shared" si="166"/>
        <v>3</v>
      </c>
      <c r="AR239" t="str">
        <f t="shared" si="141"/>
        <v>CRATE-004</v>
      </c>
      <c r="AS239" s="15" t="s">
        <v>1073</v>
      </c>
      <c r="AT239" s="15" t="s">
        <v>1089</v>
      </c>
      <c r="AU239">
        <f t="shared" si="165"/>
        <v>100</v>
      </c>
      <c r="AV239">
        <f t="shared" si="142"/>
        <v>0</v>
      </c>
      <c r="AW239">
        <f t="shared" si="143"/>
        <v>90</v>
      </c>
      <c r="AX239">
        <f t="shared" si="144"/>
        <v>75</v>
      </c>
      <c r="AY239">
        <f t="shared" si="133"/>
        <v>99.600199200398407</v>
      </c>
      <c r="AZ239">
        <f t="shared" si="145"/>
        <v>0</v>
      </c>
      <c r="BA239">
        <f t="shared" si="146"/>
        <v>64.230009960019913</v>
      </c>
      <c r="BB239">
        <f t="shared" si="167"/>
        <v>3</v>
      </c>
      <c r="BC239" t="str">
        <f t="shared" si="147"/>
        <v>CRATE-004</v>
      </c>
    </row>
    <row r="240" spans="2:55" ht="39.6" x14ac:dyDescent="0.3">
      <c r="B240" s="5" t="s">
        <v>731</v>
      </c>
      <c r="C240" s="15" t="s">
        <v>1073</v>
      </c>
      <c r="D240" s="5" t="s">
        <v>1091</v>
      </c>
      <c r="E240" s="5" t="s">
        <v>1092</v>
      </c>
      <c r="F240" s="5" t="s">
        <v>84</v>
      </c>
      <c r="G240" s="5">
        <v>150</v>
      </c>
      <c r="H240" s="5">
        <v>220</v>
      </c>
      <c r="I240" s="5">
        <v>800</v>
      </c>
      <c r="J240" s="5">
        <v>176000</v>
      </c>
      <c r="K240" s="5">
        <v>21</v>
      </c>
      <c r="L240" s="5">
        <v>10</v>
      </c>
      <c r="M240" s="5">
        <v>0.15</v>
      </c>
      <c r="N240" s="5">
        <v>95</v>
      </c>
      <c r="O240" s="5">
        <v>45</v>
      </c>
      <c r="P240" s="5" t="s">
        <v>1093</v>
      </c>
      <c r="Q240" s="5">
        <v>9.1999999999999993</v>
      </c>
      <c r="R240" s="5">
        <v>9.1999999999999993</v>
      </c>
      <c r="S240" s="5" t="s">
        <v>206</v>
      </c>
      <c r="T240" s="5">
        <v>9.1999999999999993</v>
      </c>
      <c r="U240" s="5" t="s">
        <v>53</v>
      </c>
      <c r="V240" s="5" t="s">
        <v>46</v>
      </c>
      <c r="W240" s="5">
        <v>2</v>
      </c>
      <c r="X240" s="5" t="s">
        <v>38</v>
      </c>
      <c r="Y240" s="5">
        <v>35</v>
      </c>
      <c r="Z240" s="5">
        <v>9.1999999999999993</v>
      </c>
      <c r="AA240" s="5" t="s">
        <v>1094</v>
      </c>
      <c r="AB240" s="5" t="s">
        <v>1095</v>
      </c>
      <c r="AC240" s="5" t="s">
        <v>1096</v>
      </c>
      <c r="AD240" s="5" t="s">
        <v>141</v>
      </c>
      <c r="AF240" s="15" t="s">
        <v>1073</v>
      </c>
      <c r="AG240" s="15" t="s">
        <v>1092</v>
      </c>
      <c r="AH240">
        <f t="shared" si="164"/>
        <v>46.153846153846153</v>
      </c>
      <c r="AI240">
        <f t="shared" si="134"/>
        <v>92</v>
      </c>
      <c r="AJ240" s="12">
        <f t="shared" si="135"/>
        <v>97</v>
      </c>
      <c r="AK240">
        <f t="shared" si="136"/>
        <v>95</v>
      </c>
      <c r="AL240">
        <f t="shared" si="137"/>
        <v>0</v>
      </c>
      <c r="AM240">
        <f t="shared" si="138"/>
        <v>70</v>
      </c>
      <c r="AN240">
        <f t="shared" si="132"/>
        <v>99.840199680399365</v>
      </c>
      <c r="AO240">
        <f t="shared" si="139"/>
        <v>92</v>
      </c>
      <c r="AP240">
        <f t="shared" si="140"/>
        <v>71.673667528873509</v>
      </c>
      <c r="AQ240">
        <f t="shared" si="166"/>
        <v>7</v>
      </c>
      <c r="AR240" t="str">
        <f t="shared" si="141"/>
        <v>CRATE-005</v>
      </c>
      <c r="AS240" s="15" t="s">
        <v>1073</v>
      </c>
      <c r="AT240" s="15" t="s">
        <v>1092</v>
      </c>
      <c r="AU240">
        <f t="shared" si="165"/>
        <v>46.153846153846153</v>
      </c>
      <c r="AV240">
        <f t="shared" si="142"/>
        <v>0</v>
      </c>
      <c r="AW240">
        <f t="shared" si="143"/>
        <v>95</v>
      </c>
      <c r="AX240">
        <f t="shared" si="144"/>
        <v>92</v>
      </c>
      <c r="AY240">
        <f t="shared" si="133"/>
        <v>99.840199680399365</v>
      </c>
      <c r="AZ240">
        <f t="shared" si="145"/>
        <v>70</v>
      </c>
      <c r="BA240">
        <f t="shared" si="146"/>
        <v>55.138163830173809</v>
      </c>
      <c r="BB240">
        <f t="shared" si="167"/>
        <v>7</v>
      </c>
      <c r="BC240" t="str">
        <f t="shared" si="147"/>
        <v>CRATE-005</v>
      </c>
    </row>
    <row r="241" spans="2:55" ht="39.6" x14ac:dyDescent="0.3">
      <c r="B241" s="5" t="s">
        <v>731</v>
      </c>
      <c r="C241" s="15" t="s">
        <v>1073</v>
      </c>
      <c r="D241" s="5" t="s">
        <v>1097</v>
      </c>
      <c r="E241" s="5" t="s">
        <v>1098</v>
      </c>
      <c r="F241" s="5" t="s">
        <v>33</v>
      </c>
      <c r="G241" s="5">
        <v>65</v>
      </c>
      <c r="H241" s="5">
        <v>190</v>
      </c>
      <c r="I241" s="5">
        <v>600</v>
      </c>
      <c r="J241" s="5">
        <v>114000</v>
      </c>
      <c r="K241" s="5">
        <v>14</v>
      </c>
      <c r="L241" s="5">
        <v>7</v>
      </c>
      <c r="M241" s="5">
        <v>0.25</v>
      </c>
      <c r="N241" s="5">
        <v>97</v>
      </c>
      <c r="O241" s="5">
        <v>60</v>
      </c>
      <c r="P241" s="5" t="s">
        <v>1099</v>
      </c>
      <c r="Q241" s="5">
        <v>8.8000000000000007</v>
      </c>
      <c r="R241" s="5">
        <v>9.6</v>
      </c>
      <c r="S241" s="5" t="s">
        <v>1100</v>
      </c>
      <c r="T241" s="5">
        <v>8.8000000000000007</v>
      </c>
      <c r="U241" s="5" t="s">
        <v>53</v>
      </c>
      <c r="V241" s="5" t="s">
        <v>37</v>
      </c>
      <c r="W241" s="5">
        <v>2</v>
      </c>
      <c r="X241" s="5" t="s">
        <v>38</v>
      </c>
      <c r="Y241" s="5">
        <v>25</v>
      </c>
      <c r="Z241" s="5">
        <v>9.6</v>
      </c>
      <c r="AA241" s="5" t="s">
        <v>1101</v>
      </c>
      <c r="AB241" s="5" t="s">
        <v>1102</v>
      </c>
      <c r="AC241" s="5" t="s">
        <v>47</v>
      </c>
      <c r="AD241" s="5" t="s">
        <v>141</v>
      </c>
      <c r="AF241" s="15" t="s">
        <v>1073</v>
      </c>
      <c r="AG241" s="15" t="s">
        <v>1098</v>
      </c>
      <c r="AH241">
        <f t="shared" si="164"/>
        <v>69.230769230769226</v>
      </c>
      <c r="AI241">
        <f t="shared" si="134"/>
        <v>88</v>
      </c>
      <c r="AJ241" s="12">
        <f t="shared" si="135"/>
        <v>95</v>
      </c>
      <c r="AK241">
        <f t="shared" si="136"/>
        <v>97</v>
      </c>
      <c r="AL241">
        <f t="shared" si="137"/>
        <v>30</v>
      </c>
      <c r="AM241">
        <f t="shared" si="138"/>
        <v>87</v>
      </c>
      <c r="AN241">
        <f t="shared" si="132"/>
        <v>99.88019976039952</v>
      </c>
      <c r="AO241">
        <f t="shared" si="139"/>
        <v>96</v>
      </c>
      <c r="AP241">
        <f t="shared" si="140"/>
        <v>80.374098300504286</v>
      </c>
      <c r="AQ241">
        <f t="shared" si="166"/>
        <v>2</v>
      </c>
      <c r="AR241" t="str">
        <f t="shared" si="141"/>
        <v>CRATE-006</v>
      </c>
      <c r="AS241" s="15" t="s">
        <v>1073</v>
      </c>
      <c r="AT241" s="15" t="s">
        <v>1098</v>
      </c>
      <c r="AU241">
        <f t="shared" si="165"/>
        <v>69.230769230769226</v>
      </c>
      <c r="AV241">
        <f t="shared" si="142"/>
        <v>30</v>
      </c>
      <c r="AW241">
        <f t="shared" si="143"/>
        <v>97</v>
      </c>
      <c r="AX241">
        <f t="shared" si="144"/>
        <v>88</v>
      </c>
      <c r="AY241">
        <f t="shared" si="133"/>
        <v>99.88019976039952</v>
      </c>
      <c r="AZ241">
        <f t="shared" si="145"/>
        <v>87</v>
      </c>
      <c r="BA241">
        <f t="shared" si="146"/>
        <v>70.213240757250745</v>
      </c>
      <c r="BB241">
        <f t="shared" si="167"/>
        <v>2</v>
      </c>
      <c r="BC241" t="str">
        <f t="shared" si="147"/>
        <v>CRATE-006</v>
      </c>
    </row>
    <row r="242" spans="2:55" ht="39.6" x14ac:dyDescent="0.3">
      <c r="B242" s="5" t="s">
        <v>731</v>
      </c>
      <c r="C242" s="15" t="s">
        <v>1073</v>
      </c>
      <c r="D242" s="5" t="s">
        <v>1103</v>
      </c>
      <c r="E242" s="5" t="s">
        <v>1104</v>
      </c>
      <c r="F242" s="5" t="s">
        <v>72</v>
      </c>
      <c r="G242" s="5">
        <v>20</v>
      </c>
      <c r="H242" s="5">
        <v>280</v>
      </c>
      <c r="I242" s="5">
        <v>300</v>
      </c>
      <c r="J242" s="5">
        <v>84000</v>
      </c>
      <c r="K242" s="5">
        <v>30</v>
      </c>
      <c r="L242" s="5">
        <v>15</v>
      </c>
      <c r="M242" s="5">
        <v>0.1</v>
      </c>
      <c r="N242" s="5">
        <v>96</v>
      </c>
      <c r="O242" s="5">
        <v>30</v>
      </c>
      <c r="P242" s="5" t="s">
        <v>1105</v>
      </c>
      <c r="Q242" s="5">
        <v>9.3000000000000007</v>
      </c>
      <c r="R242" s="5">
        <v>9.4</v>
      </c>
      <c r="S242" s="5" t="s">
        <v>851</v>
      </c>
      <c r="T242" s="5">
        <v>9.3000000000000007</v>
      </c>
      <c r="U242" s="5" t="s">
        <v>53</v>
      </c>
      <c r="V242" s="5" t="s">
        <v>54</v>
      </c>
      <c r="W242" s="5">
        <v>1</v>
      </c>
      <c r="X242" s="5" t="s">
        <v>38</v>
      </c>
      <c r="Y242" s="5">
        <v>40</v>
      </c>
      <c r="Z242" s="5">
        <v>9.4</v>
      </c>
      <c r="AA242" s="5" t="s">
        <v>1063</v>
      </c>
      <c r="AB242" s="5" t="s">
        <v>851</v>
      </c>
      <c r="AC242" s="5" t="s">
        <v>851</v>
      </c>
      <c r="AD242" s="5" t="s">
        <v>141</v>
      </c>
      <c r="AF242" s="15" t="s">
        <v>1073</v>
      </c>
      <c r="AG242" s="15" t="s">
        <v>1104</v>
      </c>
      <c r="AH242">
        <f t="shared" si="164"/>
        <v>0</v>
      </c>
      <c r="AI242">
        <f t="shared" si="134"/>
        <v>93</v>
      </c>
      <c r="AJ242" s="12">
        <f t="shared" si="135"/>
        <v>98</v>
      </c>
      <c r="AK242">
        <f t="shared" si="136"/>
        <v>96</v>
      </c>
      <c r="AL242">
        <f t="shared" si="137"/>
        <v>0</v>
      </c>
      <c r="AM242">
        <f t="shared" si="138"/>
        <v>96</v>
      </c>
      <c r="AN242">
        <f t="shared" si="132"/>
        <v>99.94019988039976</v>
      </c>
      <c r="AO242">
        <f t="shared" si="139"/>
        <v>94</v>
      </c>
      <c r="AP242">
        <f t="shared" si="140"/>
        <v>62.028205996411998</v>
      </c>
      <c r="AQ242">
        <f t="shared" si="166"/>
        <v>8</v>
      </c>
      <c r="AR242" t="str">
        <f t="shared" si="141"/>
        <v>CRATE-007</v>
      </c>
      <c r="AS242" s="15" t="s">
        <v>1073</v>
      </c>
      <c r="AT242" s="15" t="s">
        <v>1104</v>
      </c>
      <c r="AU242">
        <f t="shared" si="165"/>
        <v>0</v>
      </c>
      <c r="AV242">
        <f t="shared" si="142"/>
        <v>0</v>
      </c>
      <c r="AW242">
        <f t="shared" si="143"/>
        <v>96</v>
      </c>
      <c r="AX242">
        <f t="shared" si="144"/>
        <v>93</v>
      </c>
      <c r="AY242">
        <f t="shared" si="133"/>
        <v>99.94019988039976</v>
      </c>
      <c r="AZ242">
        <f t="shared" si="145"/>
        <v>96</v>
      </c>
      <c r="BA242">
        <f t="shared" si="146"/>
        <v>42.947009994019993</v>
      </c>
      <c r="BB242">
        <f t="shared" si="167"/>
        <v>8</v>
      </c>
      <c r="BC242" t="str">
        <f t="shared" si="147"/>
        <v>CRATE-007</v>
      </c>
    </row>
    <row r="243" spans="2:55" ht="39.6" x14ac:dyDescent="0.3">
      <c r="B243" s="5" t="s">
        <v>731</v>
      </c>
      <c r="C243" s="15" t="s">
        <v>1073</v>
      </c>
      <c r="D243" s="5" t="s">
        <v>1106</v>
      </c>
      <c r="E243" s="5" t="s">
        <v>1107</v>
      </c>
      <c r="F243" s="5" t="s">
        <v>59</v>
      </c>
      <c r="G243" s="5">
        <v>200</v>
      </c>
      <c r="H243" s="5">
        <v>210</v>
      </c>
      <c r="I243" s="5">
        <v>400</v>
      </c>
      <c r="J243" s="5">
        <v>84000</v>
      </c>
      <c r="K243" s="5">
        <v>21</v>
      </c>
      <c r="L243" s="5">
        <v>10</v>
      </c>
      <c r="M243" s="5">
        <v>0.18</v>
      </c>
      <c r="N243" s="5">
        <v>94</v>
      </c>
      <c r="O243" s="5">
        <v>45</v>
      </c>
      <c r="P243" s="5" t="s">
        <v>1076</v>
      </c>
      <c r="Q243" s="5">
        <v>9.5</v>
      </c>
      <c r="R243" s="5">
        <v>9.1</v>
      </c>
      <c r="S243" s="5" t="s">
        <v>805</v>
      </c>
      <c r="T243" s="5">
        <v>9.8000000000000007</v>
      </c>
      <c r="U243" s="5" t="s">
        <v>53</v>
      </c>
      <c r="V243" s="5" t="s">
        <v>54</v>
      </c>
      <c r="W243" s="5">
        <v>2</v>
      </c>
      <c r="X243" s="5" t="s">
        <v>38</v>
      </c>
      <c r="Y243" s="5">
        <v>30</v>
      </c>
      <c r="Z243" s="5">
        <v>9.1</v>
      </c>
      <c r="AA243" s="5" t="s">
        <v>886</v>
      </c>
      <c r="AB243" s="5" t="s">
        <v>1108</v>
      </c>
      <c r="AC243" s="5" t="s">
        <v>805</v>
      </c>
      <c r="AD243" s="5" t="s">
        <v>141</v>
      </c>
      <c r="AF243" s="15" t="s">
        <v>1073</v>
      </c>
      <c r="AG243" s="15" t="s">
        <v>1107</v>
      </c>
      <c r="AH243">
        <f t="shared" si="164"/>
        <v>53.846153846153847</v>
      </c>
      <c r="AI243">
        <f t="shared" si="134"/>
        <v>95</v>
      </c>
      <c r="AJ243" s="12">
        <f t="shared" si="135"/>
        <v>96.4</v>
      </c>
      <c r="AK243">
        <f t="shared" si="136"/>
        <v>94</v>
      </c>
      <c r="AL243">
        <f t="shared" si="137"/>
        <v>0</v>
      </c>
      <c r="AM243">
        <f t="shared" si="138"/>
        <v>60</v>
      </c>
      <c r="AN243">
        <f t="shared" si="132"/>
        <v>99.920199840399675</v>
      </c>
      <c r="AO243">
        <f t="shared" si="139"/>
        <v>91</v>
      </c>
      <c r="AP243">
        <f t="shared" si="140"/>
        <v>73.589144456750432</v>
      </c>
      <c r="AQ243">
        <f t="shared" si="166"/>
        <v>6</v>
      </c>
      <c r="AR243" t="str">
        <f t="shared" si="141"/>
        <v>CRATE-008</v>
      </c>
      <c r="AS243" s="15" t="s">
        <v>1073</v>
      </c>
      <c r="AT243" s="15" t="s">
        <v>1107</v>
      </c>
      <c r="AU243">
        <f t="shared" si="165"/>
        <v>53.846153846153847</v>
      </c>
      <c r="AV243">
        <f t="shared" si="142"/>
        <v>0</v>
      </c>
      <c r="AW243">
        <f t="shared" si="143"/>
        <v>94</v>
      </c>
      <c r="AX243">
        <f t="shared" si="144"/>
        <v>95</v>
      </c>
      <c r="AY243">
        <f t="shared" si="133"/>
        <v>99.920199840399675</v>
      </c>
      <c r="AZ243">
        <f t="shared" si="145"/>
        <v>60</v>
      </c>
      <c r="BA243">
        <f t="shared" si="146"/>
        <v>57.199856145866143</v>
      </c>
      <c r="BB243">
        <f t="shared" si="167"/>
        <v>6</v>
      </c>
      <c r="BC243" t="str">
        <f t="shared" si="147"/>
        <v>CRATE-008</v>
      </c>
    </row>
    <row r="244" spans="2:55" ht="39.6" x14ac:dyDescent="0.3">
      <c r="B244" s="5" t="s">
        <v>731</v>
      </c>
      <c r="C244" s="15" t="s">
        <v>1109</v>
      </c>
      <c r="D244" s="5" t="s">
        <v>1110</v>
      </c>
      <c r="E244" s="5" t="s">
        <v>1111</v>
      </c>
      <c r="F244" s="5" t="s">
        <v>50</v>
      </c>
      <c r="G244" s="5">
        <v>150</v>
      </c>
      <c r="H244" s="5">
        <v>35</v>
      </c>
      <c r="I244" s="5">
        <v>5000</v>
      </c>
      <c r="J244" s="5">
        <v>175000</v>
      </c>
      <c r="K244" s="5">
        <v>30</v>
      </c>
      <c r="L244" s="5">
        <v>15</v>
      </c>
      <c r="M244" s="5">
        <v>0.5</v>
      </c>
      <c r="N244" s="5">
        <v>90</v>
      </c>
      <c r="O244" s="5" t="s">
        <v>294</v>
      </c>
      <c r="P244" s="5" t="s">
        <v>753</v>
      </c>
      <c r="Q244" s="5">
        <v>8.5</v>
      </c>
      <c r="R244" s="5">
        <v>8</v>
      </c>
      <c r="S244" s="5" t="s">
        <v>52</v>
      </c>
      <c r="T244" s="5">
        <v>8.1999999999999993</v>
      </c>
      <c r="U244" s="5" t="s">
        <v>36</v>
      </c>
      <c r="V244" s="5" t="s">
        <v>37</v>
      </c>
      <c r="W244" s="5">
        <v>1</v>
      </c>
      <c r="X244" s="5" t="s">
        <v>38</v>
      </c>
      <c r="Y244" s="5">
        <v>90</v>
      </c>
      <c r="Z244" s="5">
        <v>7.5</v>
      </c>
      <c r="AA244" s="5" t="s">
        <v>1112</v>
      </c>
      <c r="AB244" s="5" t="s">
        <v>915</v>
      </c>
      <c r="AC244" s="5" t="s">
        <v>911</v>
      </c>
      <c r="AD244" s="5"/>
      <c r="AF244" s="15" t="s">
        <v>1109</v>
      </c>
      <c r="AG244" s="15" t="s">
        <v>1111</v>
      </c>
      <c r="AH244">
        <f t="shared" ref="AH244:AH251" si="168">100-((H244-MIN($H$244:$H$251))/(MAX($H$244:$H$251)-MIN($H$244:$H$251))*100)</f>
        <v>50</v>
      </c>
      <c r="AI244">
        <f t="shared" si="134"/>
        <v>85</v>
      </c>
      <c r="AJ244" s="12">
        <f t="shared" si="135"/>
        <v>90</v>
      </c>
      <c r="AK244">
        <f t="shared" si="136"/>
        <v>90</v>
      </c>
      <c r="AL244">
        <f t="shared" si="137"/>
        <v>0</v>
      </c>
      <c r="AM244">
        <f t="shared" si="138"/>
        <v>70</v>
      </c>
      <c r="AN244">
        <f t="shared" si="132"/>
        <v>99.000198000395997</v>
      </c>
      <c r="AO244">
        <f t="shared" si="139"/>
        <v>75</v>
      </c>
      <c r="AP244">
        <f t="shared" si="140"/>
        <v>68.720005940011873</v>
      </c>
      <c r="AQ244">
        <f>RANK(AP244, $AP$244:$AP$251, 0)</f>
        <v>4</v>
      </c>
      <c r="AR244" t="str">
        <f t="shared" si="141"/>
        <v>DARK-001</v>
      </c>
      <c r="AS244" s="15" t="s">
        <v>1109</v>
      </c>
      <c r="AT244" s="15" t="s">
        <v>1111</v>
      </c>
      <c r="AU244">
        <f t="shared" ref="AU244:AU251" si="169">100-((H244-MIN($H$244:$H$251))/(MAX($H$244:$H$251)-MIN($H$244:$H$251))*100)</f>
        <v>50</v>
      </c>
      <c r="AV244">
        <f t="shared" si="142"/>
        <v>0</v>
      </c>
      <c r="AW244">
        <f t="shared" si="143"/>
        <v>90</v>
      </c>
      <c r="AX244">
        <f t="shared" si="144"/>
        <v>85</v>
      </c>
      <c r="AY244">
        <f t="shared" si="133"/>
        <v>99.000198000395997</v>
      </c>
      <c r="AZ244">
        <f t="shared" si="145"/>
        <v>70</v>
      </c>
      <c r="BA244">
        <f t="shared" si="146"/>
        <v>54.200009900019801</v>
      </c>
      <c r="BB244">
        <f>RANK(BA244, $BA$244:$BA$251, 0)</f>
        <v>4</v>
      </c>
      <c r="BC244" t="str">
        <f t="shared" si="147"/>
        <v>DARK-001</v>
      </c>
    </row>
    <row r="245" spans="2:55" ht="39.6" x14ac:dyDescent="0.3">
      <c r="B245" s="5" t="s">
        <v>731</v>
      </c>
      <c r="C245" s="15" t="s">
        <v>1109</v>
      </c>
      <c r="D245" s="5" t="s">
        <v>1113</v>
      </c>
      <c r="E245" s="5" t="s">
        <v>1114</v>
      </c>
      <c r="F245" s="5" t="s">
        <v>72</v>
      </c>
      <c r="G245" s="5">
        <v>20</v>
      </c>
      <c r="H245" s="5">
        <v>28</v>
      </c>
      <c r="I245" s="5">
        <v>10000</v>
      </c>
      <c r="J245" s="5">
        <v>280000</v>
      </c>
      <c r="K245" s="5">
        <v>14</v>
      </c>
      <c r="L245" s="5">
        <v>7</v>
      </c>
      <c r="M245" s="5">
        <v>0.8</v>
      </c>
      <c r="N245" s="5">
        <v>97</v>
      </c>
      <c r="O245" s="5">
        <v>60</v>
      </c>
      <c r="P245" s="5" t="s">
        <v>771</v>
      </c>
      <c r="Q245" s="5">
        <v>8</v>
      </c>
      <c r="R245" s="5">
        <v>9.5</v>
      </c>
      <c r="S245" s="5" t="s">
        <v>67</v>
      </c>
      <c r="T245" s="5">
        <v>7.8</v>
      </c>
      <c r="U245" s="5" t="s">
        <v>53</v>
      </c>
      <c r="V245" s="5" t="s">
        <v>46</v>
      </c>
      <c r="W245" s="5">
        <v>2</v>
      </c>
      <c r="X245" s="5" t="s">
        <v>38</v>
      </c>
      <c r="Y245" s="5">
        <v>30</v>
      </c>
      <c r="Z245" s="5">
        <v>9</v>
      </c>
      <c r="AA245" s="5" t="s">
        <v>1115</v>
      </c>
      <c r="AB245" s="5" t="s">
        <v>926</v>
      </c>
      <c r="AC245" s="5" t="s">
        <v>932</v>
      </c>
      <c r="AD245" s="5"/>
      <c r="AF245" s="15" t="s">
        <v>1109</v>
      </c>
      <c r="AG245" s="15" t="s">
        <v>1114</v>
      </c>
      <c r="AH245">
        <f t="shared" si="168"/>
        <v>85</v>
      </c>
      <c r="AI245">
        <f t="shared" si="134"/>
        <v>80</v>
      </c>
      <c r="AJ245" s="12">
        <f t="shared" si="135"/>
        <v>84</v>
      </c>
      <c r="AK245">
        <f t="shared" si="136"/>
        <v>97</v>
      </c>
      <c r="AL245">
        <f t="shared" si="137"/>
        <v>30</v>
      </c>
      <c r="AM245">
        <f t="shared" si="138"/>
        <v>96</v>
      </c>
      <c r="AN245">
        <f t="shared" si="132"/>
        <v>98.000196000391995</v>
      </c>
      <c r="AO245">
        <f t="shared" si="139"/>
        <v>90</v>
      </c>
      <c r="AP245">
        <f t="shared" si="140"/>
        <v>80.940005880011753</v>
      </c>
      <c r="AQ245">
        <f t="shared" ref="AQ245:AQ251" si="170">RANK(AP245, $AP$244:$AP$251, 0)</f>
        <v>1</v>
      </c>
      <c r="AR245" t="str">
        <f t="shared" si="141"/>
        <v>DARK-002</v>
      </c>
      <c r="AS245" s="15" t="s">
        <v>1109</v>
      </c>
      <c r="AT245" s="15" t="s">
        <v>1114</v>
      </c>
      <c r="AU245">
        <f t="shared" si="169"/>
        <v>85</v>
      </c>
      <c r="AV245">
        <f t="shared" si="142"/>
        <v>30</v>
      </c>
      <c r="AW245">
        <f t="shared" si="143"/>
        <v>97</v>
      </c>
      <c r="AX245">
        <f t="shared" si="144"/>
        <v>80</v>
      </c>
      <c r="AY245">
        <f t="shared" si="133"/>
        <v>98.000196000391995</v>
      </c>
      <c r="AZ245">
        <f t="shared" si="145"/>
        <v>96</v>
      </c>
      <c r="BA245">
        <f t="shared" si="146"/>
        <v>74.100009800019606</v>
      </c>
      <c r="BB245">
        <f t="shared" ref="BB245:BB251" si="171">RANK(BA245, $BA$244:$BA$251, 0)</f>
        <v>1</v>
      </c>
      <c r="BC245" t="str">
        <f t="shared" si="147"/>
        <v>DARK-002</v>
      </c>
    </row>
    <row r="246" spans="2:55" ht="39.6" x14ac:dyDescent="0.3">
      <c r="B246" s="5" t="s">
        <v>731</v>
      </c>
      <c r="C246" s="15" t="s">
        <v>1109</v>
      </c>
      <c r="D246" s="5" t="s">
        <v>1116</v>
      </c>
      <c r="E246" s="5" t="s">
        <v>1117</v>
      </c>
      <c r="F246" s="5" t="s">
        <v>50</v>
      </c>
      <c r="G246" s="5">
        <v>150</v>
      </c>
      <c r="H246" s="5">
        <v>45</v>
      </c>
      <c r="I246" s="5">
        <v>2000</v>
      </c>
      <c r="J246" s="5">
        <v>90000</v>
      </c>
      <c r="K246" s="5">
        <v>45</v>
      </c>
      <c r="L246" s="5">
        <v>20</v>
      </c>
      <c r="M246" s="5">
        <v>0.3</v>
      </c>
      <c r="N246" s="5">
        <v>88</v>
      </c>
      <c r="O246" s="5" t="s">
        <v>154</v>
      </c>
      <c r="P246" s="5" t="s">
        <v>1038</v>
      </c>
      <c r="Q246" s="5">
        <v>9.5</v>
      </c>
      <c r="R246" s="5">
        <v>7.5</v>
      </c>
      <c r="S246" s="5" t="s">
        <v>206</v>
      </c>
      <c r="T246" s="5">
        <v>9.5</v>
      </c>
      <c r="U246" s="5" t="s">
        <v>36</v>
      </c>
      <c r="V246" s="5" t="s">
        <v>37</v>
      </c>
      <c r="W246" s="5">
        <v>1</v>
      </c>
      <c r="X246" s="5" t="s">
        <v>68</v>
      </c>
      <c r="Y246" s="5">
        <v>120</v>
      </c>
      <c r="Z246" s="5">
        <v>7</v>
      </c>
      <c r="AA246" s="5" t="s">
        <v>1118</v>
      </c>
      <c r="AB246" s="5" t="s">
        <v>920</v>
      </c>
      <c r="AC246" s="5" t="s">
        <v>921</v>
      </c>
      <c r="AD246" s="5"/>
      <c r="AF246" s="15" t="s">
        <v>1109</v>
      </c>
      <c r="AG246" s="15" t="s">
        <v>1117</v>
      </c>
      <c r="AH246">
        <f t="shared" si="168"/>
        <v>0</v>
      </c>
      <c r="AI246">
        <f t="shared" si="134"/>
        <v>95</v>
      </c>
      <c r="AJ246" s="12">
        <f t="shared" si="135"/>
        <v>94</v>
      </c>
      <c r="AK246">
        <f t="shared" si="136"/>
        <v>88</v>
      </c>
      <c r="AL246">
        <f t="shared" si="137"/>
        <v>0</v>
      </c>
      <c r="AM246">
        <f t="shared" si="138"/>
        <v>70</v>
      </c>
      <c r="AN246">
        <f t="shared" si="132"/>
        <v>99.600199200398407</v>
      </c>
      <c r="AO246">
        <f t="shared" si="139"/>
        <v>70</v>
      </c>
      <c r="AP246">
        <f t="shared" si="140"/>
        <v>58.938005976011951</v>
      </c>
      <c r="AQ246">
        <f t="shared" si="170"/>
        <v>8</v>
      </c>
      <c r="AR246" t="str">
        <f t="shared" si="141"/>
        <v>DARK-003</v>
      </c>
      <c r="AS246" s="15" t="s">
        <v>1109</v>
      </c>
      <c r="AT246" s="15" t="s">
        <v>1117</v>
      </c>
      <c r="AU246">
        <f t="shared" si="169"/>
        <v>0</v>
      </c>
      <c r="AV246">
        <f t="shared" si="142"/>
        <v>0</v>
      </c>
      <c r="AW246">
        <f t="shared" si="143"/>
        <v>88</v>
      </c>
      <c r="AX246">
        <f t="shared" si="144"/>
        <v>95</v>
      </c>
      <c r="AY246">
        <f t="shared" si="133"/>
        <v>99.600199200398407</v>
      </c>
      <c r="AZ246">
        <f t="shared" si="145"/>
        <v>70</v>
      </c>
      <c r="BA246">
        <f t="shared" si="146"/>
        <v>40.330009960019922</v>
      </c>
      <c r="BB246">
        <f t="shared" si="171"/>
        <v>8</v>
      </c>
      <c r="BC246" t="str">
        <f t="shared" si="147"/>
        <v>DARK-003</v>
      </c>
    </row>
    <row r="247" spans="2:55" ht="39.6" x14ac:dyDescent="0.3">
      <c r="B247" s="5" t="s">
        <v>731</v>
      </c>
      <c r="C247" s="15" t="s">
        <v>1109</v>
      </c>
      <c r="D247" s="5" t="s">
        <v>1119</v>
      </c>
      <c r="E247" s="5" t="s">
        <v>1120</v>
      </c>
      <c r="F247" s="5" t="s">
        <v>84</v>
      </c>
      <c r="G247" s="5">
        <v>150</v>
      </c>
      <c r="H247" s="5">
        <v>40</v>
      </c>
      <c r="I247" s="5">
        <v>3000</v>
      </c>
      <c r="J247" s="5">
        <v>120000</v>
      </c>
      <c r="K247" s="5">
        <v>21</v>
      </c>
      <c r="L247" s="5">
        <v>10</v>
      </c>
      <c r="M247" s="5">
        <v>0.4</v>
      </c>
      <c r="N247" s="5">
        <v>92</v>
      </c>
      <c r="O247" s="5" t="s">
        <v>294</v>
      </c>
      <c r="P247" s="5" t="s">
        <v>924</v>
      </c>
      <c r="Q247" s="5">
        <v>9.1999999999999993</v>
      </c>
      <c r="R247" s="5">
        <v>8.5</v>
      </c>
      <c r="S247" s="5" t="s">
        <v>404</v>
      </c>
      <c r="T247" s="5">
        <v>9.1999999999999993</v>
      </c>
      <c r="U247" s="5" t="s">
        <v>36</v>
      </c>
      <c r="V247" s="5" t="s">
        <v>46</v>
      </c>
      <c r="W247" s="5">
        <v>2</v>
      </c>
      <c r="X247" s="5" t="s">
        <v>38</v>
      </c>
      <c r="Y247" s="5">
        <v>60</v>
      </c>
      <c r="Z247" s="5">
        <v>8.5</v>
      </c>
      <c r="AA247" s="5" t="s">
        <v>1121</v>
      </c>
      <c r="AB247" s="5" t="s">
        <v>910</v>
      </c>
      <c r="AC247" s="5" t="s">
        <v>1122</v>
      </c>
      <c r="AD247" s="5"/>
      <c r="AF247" s="15" t="s">
        <v>1109</v>
      </c>
      <c r="AG247" s="15" t="s">
        <v>1120</v>
      </c>
      <c r="AH247">
        <f t="shared" si="168"/>
        <v>25</v>
      </c>
      <c r="AI247">
        <f t="shared" si="134"/>
        <v>92</v>
      </c>
      <c r="AJ247" s="12">
        <f t="shared" si="135"/>
        <v>92</v>
      </c>
      <c r="AK247">
        <f t="shared" si="136"/>
        <v>92</v>
      </c>
      <c r="AL247">
        <f t="shared" si="137"/>
        <v>0</v>
      </c>
      <c r="AM247">
        <f t="shared" si="138"/>
        <v>70</v>
      </c>
      <c r="AN247">
        <f t="shared" si="132"/>
        <v>99.400198800397604</v>
      </c>
      <c r="AO247">
        <f t="shared" si="139"/>
        <v>85</v>
      </c>
      <c r="AP247">
        <f t="shared" si="140"/>
        <v>65.032005964011915</v>
      </c>
      <c r="AQ247">
        <f t="shared" si="170"/>
        <v>6</v>
      </c>
      <c r="AR247" t="str">
        <f t="shared" si="141"/>
        <v>DARK-004</v>
      </c>
      <c r="AS247" s="15" t="s">
        <v>1109</v>
      </c>
      <c r="AT247" s="15" t="s">
        <v>1120</v>
      </c>
      <c r="AU247">
        <f t="shared" si="169"/>
        <v>25</v>
      </c>
      <c r="AV247">
        <f t="shared" si="142"/>
        <v>0</v>
      </c>
      <c r="AW247">
        <f t="shared" si="143"/>
        <v>92</v>
      </c>
      <c r="AX247">
        <f t="shared" si="144"/>
        <v>92</v>
      </c>
      <c r="AY247">
        <f t="shared" si="133"/>
        <v>99.400198800397604</v>
      </c>
      <c r="AZ247">
        <f t="shared" si="145"/>
        <v>70</v>
      </c>
      <c r="BA247">
        <f t="shared" si="146"/>
        <v>48.170009940019881</v>
      </c>
      <c r="BB247">
        <f t="shared" si="171"/>
        <v>6</v>
      </c>
      <c r="BC247" t="str">
        <f t="shared" si="147"/>
        <v>DARK-004</v>
      </c>
    </row>
    <row r="248" spans="2:55" ht="39.6" x14ac:dyDescent="0.3">
      <c r="B248" s="5" t="s">
        <v>731</v>
      </c>
      <c r="C248" s="15" t="s">
        <v>1109</v>
      </c>
      <c r="D248" s="5" t="s">
        <v>1123</v>
      </c>
      <c r="E248" s="5" t="s">
        <v>1124</v>
      </c>
      <c r="F248" s="5" t="s">
        <v>78</v>
      </c>
      <c r="G248" s="5">
        <v>1400</v>
      </c>
      <c r="H248" s="5">
        <v>25</v>
      </c>
      <c r="I248" s="5">
        <v>20000</v>
      </c>
      <c r="J248" s="5">
        <v>500000</v>
      </c>
      <c r="K248" s="5">
        <v>30</v>
      </c>
      <c r="L248" s="5">
        <v>15</v>
      </c>
      <c r="M248" s="5">
        <v>1</v>
      </c>
      <c r="N248" s="5">
        <v>85</v>
      </c>
      <c r="O248" s="5">
        <v>90</v>
      </c>
      <c r="P248" s="5" t="s">
        <v>747</v>
      </c>
      <c r="Q248" s="5">
        <v>7</v>
      </c>
      <c r="R248" s="5">
        <v>7.8</v>
      </c>
      <c r="S248" s="5" t="s">
        <v>54</v>
      </c>
      <c r="T248" s="5">
        <v>6.5</v>
      </c>
      <c r="U248" s="5" t="s">
        <v>174</v>
      </c>
      <c r="V248" s="5" t="s">
        <v>54</v>
      </c>
      <c r="W248" s="5">
        <v>3</v>
      </c>
      <c r="X248" s="5" t="s">
        <v>68</v>
      </c>
      <c r="Y248" s="5">
        <v>20</v>
      </c>
      <c r="Z248" s="5">
        <v>6.5</v>
      </c>
      <c r="AA248" s="5" t="s">
        <v>47</v>
      </c>
      <c r="AB248" s="5" t="s">
        <v>847</v>
      </c>
      <c r="AC248" s="5" t="s">
        <v>847</v>
      </c>
      <c r="AD248" s="5"/>
      <c r="AF248" s="15" t="s">
        <v>1109</v>
      </c>
      <c r="AG248" s="15" t="s">
        <v>1124</v>
      </c>
      <c r="AH248">
        <f t="shared" si="168"/>
        <v>100</v>
      </c>
      <c r="AI248">
        <f t="shared" si="134"/>
        <v>70</v>
      </c>
      <c r="AJ248" s="12">
        <f t="shared" si="135"/>
        <v>80</v>
      </c>
      <c r="AK248">
        <f t="shared" si="136"/>
        <v>85</v>
      </c>
      <c r="AL248">
        <f t="shared" si="137"/>
        <v>0</v>
      </c>
      <c r="AM248">
        <f t="shared" si="138"/>
        <v>0</v>
      </c>
      <c r="AN248">
        <f t="shared" si="132"/>
        <v>96.000192000384004</v>
      </c>
      <c r="AO248">
        <f t="shared" si="139"/>
        <v>65</v>
      </c>
      <c r="AP248">
        <f t="shared" si="140"/>
        <v>71.430005760011511</v>
      </c>
      <c r="AQ248">
        <f t="shared" si="170"/>
        <v>3</v>
      </c>
      <c r="AR248" t="str">
        <f t="shared" si="141"/>
        <v>DARK-005</v>
      </c>
      <c r="AS248" s="15" t="s">
        <v>1109</v>
      </c>
      <c r="AT248" s="15" t="s">
        <v>1124</v>
      </c>
      <c r="AU248">
        <f t="shared" si="169"/>
        <v>100</v>
      </c>
      <c r="AV248">
        <f t="shared" si="142"/>
        <v>0</v>
      </c>
      <c r="AW248">
        <f t="shared" si="143"/>
        <v>85</v>
      </c>
      <c r="AX248">
        <f t="shared" si="144"/>
        <v>70</v>
      </c>
      <c r="AY248">
        <f t="shared" si="133"/>
        <v>96.000192000384004</v>
      </c>
      <c r="AZ248">
        <f t="shared" si="145"/>
        <v>0</v>
      </c>
      <c r="BA248">
        <f t="shared" si="146"/>
        <v>62.300009600019202</v>
      </c>
      <c r="BB248">
        <f t="shared" si="171"/>
        <v>3</v>
      </c>
      <c r="BC248" t="str">
        <f t="shared" si="147"/>
        <v>DARK-005</v>
      </c>
    </row>
    <row r="249" spans="2:55" ht="39.6" x14ac:dyDescent="0.3">
      <c r="B249" s="5" t="s">
        <v>731</v>
      </c>
      <c r="C249" s="15" t="s">
        <v>1109</v>
      </c>
      <c r="D249" s="5" t="s">
        <v>1125</v>
      </c>
      <c r="E249" s="5" t="s">
        <v>1126</v>
      </c>
      <c r="F249" s="5" t="s">
        <v>33</v>
      </c>
      <c r="G249" s="5">
        <v>65</v>
      </c>
      <c r="H249" s="5">
        <v>38</v>
      </c>
      <c r="I249" s="5">
        <v>6000</v>
      </c>
      <c r="J249" s="5">
        <v>228000</v>
      </c>
      <c r="K249" s="5">
        <v>30</v>
      </c>
      <c r="L249" s="5">
        <v>15</v>
      </c>
      <c r="M249" s="5">
        <v>0.6</v>
      </c>
      <c r="N249" s="5">
        <v>95</v>
      </c>
      <c r="O249" s="5">
        <v>60</v>
      </c>
      <c r="P249" s="5" t="s">
        <v>999</v>
      </c>
      <c r="Q249" s="5">
        <v>8.8000000000000007</v>
      </c>
      <c r="R249" s="5">
        <v>9.3000000000000007</v>
      </c>
      <c r="S249" s="5" t="s">
        <v>67</v>
      </c>
      <c r="T249" s="5">
        <v>8.8000000000000007</v>
      </c>
      <c r="U249" s="5" t="s">
        <v>53</v>
      </c>
      <c r="V249" s="5" t="s">
        <v>37</v>
      </c>
      <c r="W249" s="5">
        <v>2</v>
      </c>
      <c r="X249" s="5" t="s">
        <v>38</v>
      </c>
      <c r="Y249" s="5">
        <v>45</v>
      </c>
      <c r="Z249" s="5">
        <v>9.3000000000000007</v>
      </c>
      <c r="AA249" s="5" t="s">
        <v>938</v>
      </c>
      <c r="AB249" s="5" t="s">
        <v>851</v>
      </c>
      <c r="AC249" s="5" t="s">
        <v>851</v>
      </c>
      <c r="AD249" s="5"/>
      <c r="AF249" s="15" t="s">
        <v>1109</v>
      </c>
      <c r="AG249" s="15" t="s">
        <v>1126</v>
      </c>
      <c r="AH249">
        <f t="shared" si="168"/>
        <v>35</v>
      </c>
      <c r="AI249">
        <f t="shared" si="134"/>
        <v>88</v>
      </c>
      <c r="AJ249" s="12">
        <f t="shared" si="135"/>
        <v>88</v>
      </c>
      <c r="AK249">
        <f t="shared" si="136"/>
        <v>95</v>
      </c>
      <c r="AL249">
        <f t="shared" si="137"/>
        <v>0</v>
      </c>
      <c r="AM249">
        <f t="shared" si="138"/>
        <v>87</v>
      </c>
      <c r="AN249">
        <f t="shared" si="132"/>
        <v>98.800197600395194</v>
      </c>
      <c r="AO249">
        <f t="shared" si="139"/>
        <v>93</v>
      </c>
      <c r="AP249">
        <f t="shared" si="140"/>
        <v>67.374005928011854</v>
      </c>
      <c r="AQ249">
        <f t="shared" si="170"/>
        <v>5</v>
      </c>
      <c r="AR249" t="str">
        <f t="shared" si="141"/>
        <v>DARK-006</v>
      </c>
      <c r="AS249" s="15" t="s">
        <v>1109</v>
      </c>
      <c r="AT249" s="15" t="s">
        <v>1126</v>
      </c>
      <c r="AU249">
        <f t="shared" si="169"/>
        <v>35</v>
      </c>
      <c r="AV249">
        <f t="shared" si="142"/>
        <v>0</v>
      </c>
      <c r="AW249">
        <f t="shared" si="143"/>
        <v>95</v>
      </c>
      <c r="AX249">
        <f t="shared" si="144"/>
        <v>88</v>
      </c>
      <c r="AY249">
        <f t="shared" si="133"/>
        <v>98.800197600395194</v>
      </c>
      <c r="AZ249">
        <f t="shared" si="145"/>
        <v>87</v>
      </c>
      <c r="BA249">
        <f t="shared" si="146"/>
        <v>51.990009880019763</v>
      </c>
      <c r="BB249">
        <f t="shared" si="171"/>
        <v>5</v>
      </c>
      <c r="BC249" t="str">
        <f t="shared" si="147"/>
        <v>DARK-006</v>
      </c>
    </row>
    <row r="250" spans="2:55" ht="39.6" x14ac:dyDescent="0.3">
      <c r="B250" s="5" t="s">
        <v>731</v>
      </c>
      <c r="C250" s="15" t="s">
        <v>1109</v>
      </c>
      <c r="D250" s="5" t="s">
        <v>1127</v>
      </c>
      <c r="E250" s="5" t="s">
        <v>1128</v>
      </c>
      <c r="F250" s="5" t="s">
        <v>59</v>
      </c>
      <c r="G250" s="5">
        <v>200</v>
      </c>
      <c r="H250" s="5">
        <v>42</v>
      </c>
      <c r="I250" s="5">
        <v>4000</v>
      </c>
      <c r="J250" s="5">
        <v>168000</v>
      </c>
      <c r="K250" s="5">
        <v>21</v>
      </c>
      <c r="L250" s="5">
        <v>10</v>
      </c>
      <c r="M250" s="5">
        <v>0.35</v>
      </c>
      <c r="N250" s="5">
        <v>94</v>
      </c>
      <c r="O250" s="5">
        <v>45</v>
      </c>
      <c r="P250" s="5" t="s">
        <v>753</v>
      </c>
      <c r="Q250" s="5">
        <v>9.5</v>
      </c>
      <c r="R250" s="5">
        <v>8.8000000000000007</v>
      </c>
      <c r="S250" s="5" t="s">
        <v>1129</v>
      </c>
      <c r="T250" s="5">
        <v>9.8000000000000007</v>
      </c>
      <c r="U250" s="5" t="s">
        <v>53</v>
      </c>
      <c r="V250" s="5" t="s">
        <v>54</v>
      </c>
      <c r="W250" s="5">
        <v>2</v>
      </c>
      <c r="X250" s="5" t="s">
        <v>38</v>
      </c>
      <c r="Y250" s="5">
        <v>50</v>
      </c>
      <c r="Z250" s="5">
        <v>8.8000000000000007</v>
      </c>
      <c r="AA250" s="5" t="s">
        <v>805</v>
      </c>
      <c r="AB250" s="5" t="s">
        <v>915</v>
      </c>
      <c r="AC250" s="5" t="s">
        <v>911</v>
      </c>
      <c r="AD250" s="5"/>
      <c r="AF250" s="15" t="s">
        <v>1109</v>
      </c>
      <c r="AG250" s="15" t="s">
        <v>1128</v>
      </c>
      <c r="AH250">
        <f t="shared" si="168"/>
        <v>15</v>
      </c>
      <c r="AI250">
        <f t="shared" si="134"/>
        <v>95</v>
      </c>
      <c r="AJ250" s="12">
        <f t="shared" si="135"/>
        <v>93</v>
      </c>
      <c r="AK250">
        <f t="shared" si="136"/>
        <v>94</v>
      </c>
      <c r="AL250">
        <f t="shared" si="137"/>
        <v>0</v>
      </c>
      <c r="AM250">
        <f t="shared" si="138"/>
        <v>60</v>
      </c>
      <c r="AN250">
        <f t="shared" si="132"/>
        <v>99.2001984003968</v>
      </c>
      <c r="AO250">
        <f t="shared" si="139"/>
        <v>88</v>
      </c>
      <c r="AP250">
        <f t="shared" si="140"/>
        <v>63.286005952011905</v>
      </c>
      <c r="AQ250">
        <f t="shared" si="170"/>
        <v>7</v>
      </c>
      <c r="AR250" t="str">
        <f t="shared" si="141"/>
        <v>DARK-007</v>
      </c>
      <c r="AS250" s="15" t="s">
        <v>1109</v>
      </c>
      <c r="AT250" s="15" t="s">
        <v>1128</v>
      </c>
      <c r="AU250">
        <f t="shared" si="169"/>
        <v>15</v>
      </c>
      <c r="AV250">
        <f t="shared" si="142"/>
        <v>0</v>
      </c>
      <c r="AW250">
        <f t="shared" si="143"/>
        <v>94</v>
      </c>
      <c r="AX250">
        <f t="shared" si="144"/>
        <v>95</v>
      </c>
      <c r="AY250">
        <f t="shared" si="133"/>
        <v>99.2001984003968</v>
      </c>
      <c r="AZ250">
        <f t="shared" si="145"/>
        <v>60</v>
      </c>
      <c r="BA250">
        <f t="shared" si="146"/>
        <v>45.51000992001984</v>
      </c>
      <c r="BB250">
        <f t="shared" si="171"/>
        <v>7</v>
      </c>
      <c r="BC250" t="str">
        <f t="shared" si="147"/>
        <v>DARK-007</v>
      </c>
    </row>
    <row r="251" spans="2:55" ht="39.6" x14ac:dyDescent="0.3">
      <c r="B251" s="5" t="s">
        <v>731</v>
      </c>
      <c r="C251" s="15" t="s">
        <v>1109</v>
      </c>
      <c r="D251" s="5" t="s">
        <v>1130</v>
      </c>
      <c r="E251" s="5" t="s">
        <v>1131</v>
      </c>
      <c r="F251" s="5" t="s">
        <v>72</v>
      </c>
      <c r="G251" s="5">
        <v>15</v>
      </c>
      <c r="H251" s="5">
        <v>32</v>
      </c>
      <c r="I251" s="5">
        <v>8000</v>
      </c>
      <c r="J251" s="5">
        <v>256000</v>
      </c>
      <c r="K251" s="5">
        <v>14</v>
      </c>
      <c r="L251" s="5">
        <v>7</v>
      </c>
      <c r="M251" s="5">
        <v>0.45</v>
      </c>
      <c r="N251" s="5">
        <v>96</v>
      </c>
      <c r="O251" s="5">
        <v>30</v>
      </c>
      <c r="P251" s="5" t="s">
        <v>759</v>
      </c>
      <c r="Q251" s="5">
        <v>8.3000000000000007</v>
      </c>
      <c r="R251" s="5">
        <v>9.4</v>
      </c>
      <c r="S251" s="5" t="s">
        <v>74</v>
      </c>
      <c r="T251" s="5">
        <v>8.3000000000000007</v>
      </c>
      <c r="U251" s="5" t="s">
        <v>53</v>
      </c>
      <c r="V251" s="5" t="s">
        <v>46</v>
      </c>
      <c r="W251" s="5">
        <v>1</v>
      </c>
      <c r="X251" s="5" t="s">
        <v>38</v>
      </c>
      <c r="Y251" s="5">
        <v>35</v>
      </c>
      <c r="Z251" s="5">
        <v>9.4</v>
      </c>
      <c r="AA251" s="5" t="s">
        <v>1132</v>
      </c>
      <c r="AB251" s="5" t="s">
        <v>920</v>
      </c>
      <c r="AC251" s="5" t="s">
        <v>921</v>
      </c>
      <c r="AD251" s="5"/>
      <c r="AF251" s="15" t="s">
        <v>1109</v>
      </c>
      <c r="AG251" s="15" t="s">
        <v>1131</v>
      </c>
      <c r="AH251">
        <f t="shared" si="168"/>
        <v>65</v>
      </c>
      <c r="AI251">
        <f t="shared" si="134"/>
        <v>83</v>
      </c>
      <c r="AJ251" s="12">
        <f t="shared" si="135"/>
        <v>91</v>
      </c>
      <c r="AK251">
        <f t="shared" si="136"/>
        <v>96</v>
      </c>
      <c r="AL251">
        <f t="shared" si="137"/>
        <v>30</v>
      </c>
      <c r="AM251">
        <f t="shared" si="138"/>
        <v>97</v>
      </c>
      <c r="AN251">
        <f t="shared" si="132"/>
        <v>98.400196800393601</v>
      </c>
      <c r="AO251">
        <f t="shared" si="139"/>
        <v>94</v>
      </c>
      <c r="AP251">
        <f t="shared" si="140"/>
        <v>77.7320059040118</v>
      </c>
      <c r="AQ251">
        <f t="shared" si="170"/>
        <v>2</v>
      </c>
      <c r="AR251" t="str">
        <f t="shared" si="141"/>
        <v>DARK-008</v>
      </c>
      <c r="AS251" s="15" t="s">
        <v>1109</v>
      </c>
      <c r="AT251" s="15" t="s">
        <v>1131</v>
      </c>
      <c r="AU251">
        <f t="shared" si="169"/>
        <v>65</v>
      </c>
      <c r="AV251">
        <f t="shared" si="142"/>
        <v>30</v>
      </c>
      <c r="AW251">
        <f t="shared" si="143"/>
        <v>96</v>
      </c>
      <c r="AX251">
        <f t="shared" si="144"/>
        <v>83</v>
      </c>
      <c r="AY251">
        <f t="shared" si="133"/>
        <v>98.400196800393601</v>
      </c>
      <c r="AZ251">
        <f t="shared" si="145"/>
        <v>97</v>
      </c>
      <c r="BA251">
        <f t="shared" si="146"/>
        <v>68.420009840019688</v>
      </c>
      <c r="BB251">
        <f t="shared" si="171"/>
        <v>2</v>
      </c>
      <c r="BC251" t="str">
        <f t="shared" si="147"/>
        <v>DARK-008</v>
      </c>
    </row>
    <row r="252" spans="2:55" ht="39.6" x14ac:dyDescent="0.3">
      <c r="B252" s="5" t="s">
        <v>731</v>
      </c>
      <c r="C252" s="15" t="s">
        <v>1133</v>
      </c>
      <c r="D252" s="5" t="s">
        <v>1134</v>
      </c>
      <c r="E252" s="5" t="s">
        <v>1135</v>
      </c>
      <c r="F252" s="5" t="s">
        <v>50</v>
      </c>
      <c r="G252" s="5">
        <v>150</v>
      </c>
      <c r="H252" s="5">
        <v>8</v>
      </c>
      <c r="I252" s="5">
        <v>10000</v>
      </c>
      <c r="J252" s="5">
        <v>80000</v>
      </c>
      <c r="K252" s="5">
        <v>21</v>
      </c>
      <c r="L252" s="5">
        <v>10</v>
      </c>
      <c r="M252" s="5">
        <v>0.2</v>
      </c>
      <c r="N252" s="5">
        <v>92</v>
      </c>
      <c r="O252" s="5" t="s">
        <v>154</v>
      </c>
      <c r="P252" s="5" t="s">
        <v>735</v>
      </c>
      <c r="Q252" s="5">
        <v>9.1999999999999993</v>
      </c>
      <c r="R252" s="5">
        <v>8.5</v>
      </c>
      <c r="S252" s="5" t="s">
        <v>67</v>
      </c>
      <c r="T252" s="5">
        <v>9</v>
      </c>
      <c r="U252" s="5" t="s">
        <v>36</v>
      </c>
      <c r="V252" s="5" t="s">
        <v>37</v>
      </c>
      <c r="W252" s="5">
        <v>1</v>
      </c>
      <c r="X252" s="5" t="s">
        <v>38</v>
      </c>
      <c r="Y252" s="5">
        <v>90</v>
      </c>
      <c r="Z252" s="5">
        <v>8</v>
      </c>
      <c r="AA252" s="5" t="s">
        <v>47</v>
      </c>
      <c r="AB252" s="5" t="s">
        <v>1136</v>
      </c>
      <c r="AC252" s="5" t="s">
        <v>1137</v>
      </c>
      <c r="AD252" s="5"/>
      <c r="AF252" s="15" t="s">
        <v>1133</v>
      </c>
      <c r="AG252" s="15" t="s">
        <v>1135</v>
      </c>
      <c r="AH252">
        <f t="shared" ref="AH252:AH259" si="172">100-((H252-MIN($H$252:$H$259))/(MAX($H$252:$H$259)-MIN($H$252:$H$259))*100)</f>
        <v>50</v>
      </c>
      <c r="AI252">
        <f t="shared" si="134"/>
        <v>92</v>
      </c>
      <c r="AJ252" s="12">
        <f t="shared" si="135"/>
        <v>96</v>
      </c>
      <c r="AK252">
        <f t="shared" si="136"/>
        <v>92</v>
      </c>
      <c r="AL252">
        <f t="shared" si="137"/>
        <v>0</v>
      </c>
      <c r="AM252">
        <f t="shared" si="138"/>
        <v>70</v>
      </c>
      <c r="AN252">
        <f t="shared" si="132"/>
        <v>98.000196000391995</v>
      </c>
      <c r="AO252">
        <f t="shared" si="139"/>
        <v>80</v>
      </c>
      <c r="AP252">
        <f t="shared" si="140"/>
        <v>71.740005880011736</v>
      </c>
      <c r="AQ252">
        <f>RANK(AP252, $AP$252:$AP$259, 0)</f>
        <v>4</v>
      </c>
      <c r="AR252" t="str">
        <f t="shared" si="141"/>
        <v>CAP-001</v>
      </c>
      <c r="AS252" s="15" t="s">
        <v>1133</v>
      </c>
      <c r="AT252" s="15" t="s">
        <v>1135</v>
      </c>
      <c r="AU252">
        <f t="shared" ref="AU252:AU259" si="173">100-((H252-MIN($H$252:$H$259))/(MAX($H$252:$H$259)-MIN($H$252:$H$259))*100)</f>
        <v>50</v>
      </c>
      <c r="AV252">
        <f t="shared" si="142"/>
        <v>0</v>
      </c>
      <c r="AW252">
        <f t="shared" si="143"/>
        <v>92</v>
      </c>
      <c r="AX252">
        <f t="shared" si="144"/>
        <v>92</v>
      </c>
      <c r="AY252">
        <f t="shared" si="133"/>
        <v>98.000196000391995</v>
      </c>
      <c r="AZ252">
        <f t="shared" si="145"/>
        <v>70</v>
      </c>
      <c r="BA252">
        <f t="shared" si="146"/>
        <v>55.600009800019606</v>
      </c>
      <c r="BB252">
        <f>RANK(BA252, $BA$252:$BA$259, 0)</f>
        <v>4</v>
      </c>
      <c r="BC252" t="str">
        <f t="shared" si="147"/>
        <v>CAP-001</v>
      </c>
    </row>
    <row r="253" spans="2:55" ht="39.6" x14ac:dyDescent="0.3">
      <c r="B253" s="5" t="s">
        <v>731</v>
      </c>
      <c r="C253" s="15" t="s">
        <v>1133</v>
      </c>
      <c r="D253" s="5" t="s">
        <v>1138</v>
      </c>
      <c r="E253" s="5" t="s">
        <v>1139</v>
      </c>
      <c r="F253" s="5" t="s">
        <v>72</v>
      </c>
      <c r="G253" s="5">
        <v>15</v>
      </c>
      <c r="H253" s="5">
        <v>6</v>
      </c>
      <c r="I253" s="5">
        <v>50000</v>
      </c>
      <c r="J253" s="5">
        <v>300000</v>
      </c>
      <c r="K253" s="5">
        <v>14</v>
      </c>
      <c r="L253" s="5">
        <v>7</v>
      </c>
      <c r="M253" s="5">
        <v>0.3</v>
      </c>
      <c r="N253" s="5">
        <v>96</v>
      </c>
      <c r="O253" s="5">
        <v>45</v>
      </c>
      <c r="P253" s="5" t="s">
        <v>765</v>
      </c>
      <c r="Q253" s="5">
        <v>8.5</v>
      </c>
      <c r="R253" s="5">
        <v>9.4</v>
      </c>
      <c r="S253" s="5" t="s">
        <v>52</v>
      </c>
      <c r="T253" s="5">
        <v>8.5</v>
      </c>
      <c r="U253" s="5" t="s">
        <v>53</v>
      </c>
      <c r="V253" s="5" t="s">
        <v>46</v>
      </c>
      <c r="W253" s="5">
        <v>2</v>
      </c>
      <c r="X253" s="5" t="s">
        <v>38</v>
      </c>
      <c r="Y253" s="5">
        <v>30</v>
      </c>
      <c r="Z253" s="5">
        <v>9.4</v>
      </c>
      <c r="AA253" s="5" t="s">
        <v>47</v>
      </c>
      <c r="AB253" s="5" t="s">
        <v>993</v>
      </c>
      <c r="AC253" s="5" t="s">
        <v>1140</v>
      </c>
      <c r="AD253" s="5"/>
      <c r="AF253" s="15" t="s">
        <v>1133</v>
      </c>
      <c r="AG253" s="15" t="s">
        <v>1139</v>
      </c>
      <c r="AH253">
        <f t="shared" si="172"/>
        <v>83.333333333333343</v>
      </c>
      <c r="AI253">
        <f t="shared" si="134"/>
        <v>85</v>
      </c>
      <c r="AJ253" s="12">
        <f t="shared" si="135"/>
        <v>94</v>
      </c>
      <c r="AK253">
        <f t="shared" si="136"/>
        <v>96</v>
      </c>
      <c r="AL253">
        <f t="shared" si="137"/>
        <v>30</v>
      </c>
      <c r="AM253">
        <f t="shared" si="138"/>
        <v>97</v>
      </c>
      <c r="AN253">
        <f t="shared" si="132"/>
        <v>90.000180000360004</v>
      </c>
      <c r="AO253">
        <f t="shared" si="139"/>
        <v>94</v>
      </c>
      <c r="AP253">
        <f t="shared" si="140"/>
        <v>83.013338733344128</v>
      </c>
      <c r="AQ253">
        <f t="shared" ref="AQ253:AQ259" si="174">RANK(AP253, $AP$252:$AP$259, 0)</f>
        <v>1</v>
      </c>
      <c r="AR253" t="str">
        <f t="shared" si="141"/>
        <v>CAP-002</v>
      </c>
      <c r="AS253" s="15" t="s">
        <v>1133</v>
      </c>
      <c r="AT253" s="15" t="s">
        <v>1139</v>
      </c>
      <c r="AU253">
        <f t="shared" si="173"/>
        <v>83.333333333333343</v>
      </c>
      <c r="AV253">
        <f t="shared" si="142"/>
        <v>30</v>
      </c>
      <c r="AW253">
        <f t="shared" si="143"/>
        <v>96</v>
      </c>
      <c r="AX253">
        <f t="shared" si="144"/>
        <v>85</v>
      </c>
      <c r="AY253">
        <f t="shared" si="133"/>
        <v>90.000180000360004</v>
      </c>
      <c r="AZ253">
        <f t="shared" si="145"/>
        <v>97</v>
      </c>
      <c r="BA253">
        <f t="shared" si="146"/>
        <v>73.800009000017994</v>
      </c>
      <c r="BB253">
        <f t="shared" ref="BB253:BB259" si="175">RANK(BA253, $BA$252:$BA$259, 0)</f>
        <v>1</v>
      </c>
      <c r="BC253" t="str">
        <f t="shared" si="147"/>
        <v>CAP-002</v>
      </c>
    </row>
    <row r="254" spans="2:55" ht="39.6" x14ac:dyDescent="0.3">
      <c r="B254" s="5" t="s">
        <v>731</v>
      </c>
      <c r="C254" s="15" t="s">
        <v>1133</v>
      </c>
      <c r="D254" s="5" t="s">
        <v>1141</v>
      </c>
      <c r="E254" s="5" t="s">
        <v>1142</v>
      </c>
      <c r="F254" s="5" t="s">
        <v>524</v>
      </c>
      <c r="G254" s="5">
        <v>30</v>
      </c>
      <c r="H254" s="5">
        <v>10</v>
      </c>
      <c r="I254" s="5">
        <v>5000</v>
      </c>
      <c r="J254" s="5">
        <v>50000</v>
      </c>
      <c r="K254" s="5">
        <v>30</v>
      </c>
      <c r="L254" s="5">
        <v>15</v>
      </c>
      <c r="M254" s="5">
        <v>0.1</v>
      </c>
      <c r="N254" s="5">
        <v>94</v>
      </c>
      <c r="O254" s="5">
        <v>30</v>
      </c>
      <c r="P254" s="5" t="s">
        <v>771</v>
      </c>
      <c r="Q254" s="5">
        <v>9.5</v>
      </c>
      <c r="R254" s="5">
        <v>9</v>
      </c>
      <c r="S254" s="5" t="s">
        <v>404</v>
      </c>
      <c r="T254" s="5">
        <v>9.5</v>
      </c>
      <c r="U254" s="5" t="s">
        <v>36</v>
      </c>
      <c r="V254" s="5" t="s">
        <v>37</v>
      </c>
      <c r="W254" s="5">
        <v>1</v>
      </c>
      <c r="X254" s="5" t="s">
        <v>38</v>
      </c>
      <c r="Y254" s="5">
        <v>120</v>
      </c>
      <c r="Z254" s="5">
        <v>9</v>
      </c>
      <c r="AA254" s="5" t="s">
        <v>40</v>
      </c>
      <c r="AB254" s="5" t="s">
        <v>989</v>
      </c>
      <c r="AC254" s="5" t="s">
        <v>1143</v>
      </c>
      <c r="AD254" s="5"/>
      <c r="AF254" s="15" t="s">
        <v>1133</v>
      </c>
      <c r="AG254" s="15" t="s">
        <v>1142</v>
      </c>
      <c r="AH254">
        <f t="shared" si="172"/>
        <v>16.666666666666657</v>
      </c>
      <c r="AI254">
        <f t="shared" si="134"/>
        <v>95</v>
      </c>
      <c r="AJ254" s="12">
        <f t="shared" si="135"/>
        <v>98</v>
      </c>
      <c r="AK254">
        <f t="shared" si="136"/>
        <v>94</v>
      </c>
      <c r="AL254">
        <f t="shared" si="137"/>
        <v>0</v>
      </c>
      <c r="AM254">
        <f t="shared" si="138"/>
        <v>94</v>
      </c>
      <c r="AN254">
        <f t="shared" si="132"/>
        <v>99.000198000395997</v>
      </c>
      <c r="AO254">
        <f t="shared" si="139"/>
        <v>90</v>
      </c>
      <c r="AP254">
        <f t="shared" si="140"/>
        <v>66.186672606678542</v>
      </c>
      <c r="AQ254">
        <f t="shared" si="174"/>
        <v>7</v>
      </c>
      <c r="AR254" t="str">
        <f t="shared" si="141"/>
        <v>CAP-003</v>
      </c>
      <c r="AS254" s="15" t="s">
        <v>1133</v>
      </c>
      <c r="AT254" s="15" t="s">
        <v>1142</v>
      </c>
      <c r="AU254">
        <f t="shared" si="173"/>
        <v>16.666666666666657</v>
      </c>
      <c r="AV254">
        <f t="shared" si="142"/>
        <v>0</v>
      </c>
      <c r="AW254">
        <f t="shared" si="143"/>
        <v>94</v>
      </c>
      <c r="AX254">
        <f t="shared" si="144"/>
        <v>95</v>
      </c>
      <c r="AY254">
        <f t="shared" si="133"/>
        <v>99.000198000395997</v>
      </c>
      <c r="AZ254">
        <f t="shared" si="145"/>
        <v>94</v>
      </c>
      <c r="BA254">
        <f t="shared" si="146"/>
        <v>47.700009900019801</v>
      </c>
      <c r="BB254">
        <f t="shared" si="175"/>
        <v>7</v>
      </c>
      <c r="BC254" t="str">
        <f t="shared" si="147"/>
        <v>CAP-003</v>
      </c>
    </row>
    <row r="255" spans="2:55" ht="39.6" x14ac:dyDescent="0.3">
      <c r="B255" s="5" t="s">
        <v>731</v>
      </c>
      <c r="C255" s="15" t="s">
        <v>1133</v>
      </c>
      <c r="D255" s="5" t="s">
        <v>1144</v>
      </c>
      <c r="E255" s="5" t="s">
        <v>1145</v>
      </c>
      <c r="F255" s="5" t="s">
        <v>78</v>
      </c>
      <c r="G255" s="5">
        <v>1400</v>
      </c>
      <c r="H255" s="5">
        <v>5</v>
      </c>
      <c r="I255" s="5">
        <v>50000</v>
      </c>
      <c r="J255" s="5">
        <v>250000</v>
      </c>
      <c r="K255" s="5">
        <v>30</v>
      </c>
      <c r="L255" s="5">
        <v>15</v>
      </c>
      <c r="M255" s="5">
        <v>0.4</v>
      </c>
      <c r="N255" s="5">
        <v>88</v>
      </c>
      <c r="O255" s="5">
        <v>90</v>
      </c>
      <c r="P255" s="5" t="s">
        <v>741</v>
      </c>
      <c r="Q255" s="5">
        <v>7.5</v>
      </c>
      <c r="R255" s="5">
        <v>8</v>
      </c>
      <c r="S255" s="5" t="s">
        <v>54</v>
      </c>
      <c r="T255" s="5">
        <v>6.5</v>
      </c>
      <c r="U255" s="5" t="s">
        <v>174</v>
      </c>
      <c r="V255" s="5" t="s">
        <v>54</v>
      </c>
      <c r="W255" s="5">
        <v>3</v>
      </c>
      <c r="X255" s="5" t="s">
        <v>68</v>
      </c>
      <c r="Y255" s="5">
        <v>20</v>
      </c>
      <c r="Z255" s="5">
        <v>6.5</v>
      </c>
      <c r="AA255" s="5" t="s">
        <v>54</v>
      </c>
      <c r="AB255" s="5" t="s">
        <v>847</v>
      </c>
      <c r="AC255" s="5" t="s">
        <v>1146</v>
      </c>
      <c r="AD255" s="5"/>
      <c r="AF255" s="15" t="s">
        <v>1133</v>
      </c>
      <c r="AG255" s="15" t="s">
        <v>1145</v>
      </c>
      <c r="AH255">
        <f t="shared" si="172"/>
        <v>100</v>
      </c>
      <c r="AI255">
        <f t="shared" si="134"/>
        <v>75</v>
      </c>
      <c r="AJ255" s="12">
        <f t="shared" si="135"/>
        <v>92</v>
      </c>
      <c r="AK255">
        <f t="shared" si="136"/>
        <v>88</v>
      </c>
      <c r="AL255">
        <f t="shared" si="137"/>
        <v>0</v>
      </c>
      <c r="AM255">
        <f t="shared" si="138"/>
        <v>0</v>
      </c>
      <c r="AN255">
        <f t="shared" si="132"/>
        <v>90.000180000360004</v>
      </c>
      <c r="AO255">
        <f t="shared" si="139"/>
        <v>65</v>
      </c>
      <c r="AP255">
        <f t="shared" si="140"/>
        <v>74.750005400010792</v>
      </c>
      <c r="AQ255">
        <f t="shared" si="174"/>
        <v>3</v>
      </c>
      <c r="AR255" t="str">
        <f t="shared" si="141"/>
        <v>CAP-004</v>
      </c>
      <c r="AS255" s="15" t="s">
        <v>1133</v>
      </c>
      <c r="AT255" s="15" t="s">
        <v>1145</v>
      </c>
      <c r="AU255">
        <f t="shared" si="173"/>
        <v>100</v>
      </c>
      <c r="AV255">
        <f t="shared" si="142"/>
        <v>0</v>
      </c>
      <c r="AW255">
        <f t="shared" si="143"/>
        <v>88</v>
      </c>
      <c r="AX255">
        <f t="shared" si="144"/>
        <v>75</v>
      </c>
      <c r="AY255">
        <f t="shared" si="133"/>
        <v>90.000180000360004</v>
      </c>
      <c r="AZ255">
        <f t="shared" si="145"/>
        <v>0</v>
      </c>
      <c r="BA255">
        <f t="shared" si="146"/>
        <v>63.350009000018005</v>
      </c>
      <c r="BB255">
        <f t="shared" si="175"/>
        <v>3</v>
      </c>
      <c r="BC255" t="str">
        <f t="shared" si="147"/>
        <v>CAP-004</v>
      </c>
    </row>
    <row r="256" spans="2:55" ht="39.6" x14ac:dyDescent="0.3">
      <c r="B256" s="5" t="s">
        <v>731</v>
      </c>
      <c r="C256" s="15" t="s">
        <v>1133</v>
      </c>
      <c r="D256" s="5" t="s">
        <v>1147</v>
      </c>
      <c r="E256" s="5" t="s">
        <v>1148</v>
      </c>
      <c r="F256" s="5" t="s">
        <v>84</v>
      </c>
      <c r="G256" s="5">
        <v>150</v>
      </c>
      <c r="H256" s="5">
        <v>9</v>
      </c>
      <c r="I256" s="5">
        <v>20000</v>
      </c>
      <c r="J256" s="5">
        <v>180000</v>
      </c>
      <c r="K256" s="5">
        <v>21</v>
      </c>
      <c r="L256" s="5">
        <v>10</v>
      </c>
      <c r="M256" s="5">
        <v>0.15</v>
      </c>
      <c r="N256" s="5">
        <v>93</v>
      </c>
      <c r="O256" s="5" t="s">
        <v>294</v>
      </c>
      <c r="P256" s="5" t="s">
        <v>747</v>
      </c>
      <c r="Q256" s="5">
        <v>9.3000000000000007</v>
      </c>
      <c r="R256" s="5">
        <v>8.8000000000000007</v>
      </c>
      <c r="S256" s="5" t="s">
        <v>851</v>
      </c>
      <c r="T256" s="5">
        <v>9.3000000000000007</v>
      </c>
      <c r="U256" s="5" t="s">
        <v>53</v>
      </c>
      <c r="V256" s="5" t="s">
        <v>46</v>
      </c>
      <c r="W256" s="5">
        <v>2</v>
      </c>
      <c r="X256" s="5" t="s">
        <v>38</v>
      </c>
      <c r="Y256" s="5">
        <v>60</v>
      </c>
      <c r="Z256" s="5">
        <v>8.8000000000000007</v>
      </c>
      <c r="AA256" s="5" t="s">
        <v>1149</v>
      </c>
      <c r="AB256" s="5" t="s">
        <v>851</v>
      </c>
      <c r="AC256" s="5" t="s">
        <v>847</v>
      </c>
      <c r="AD256" s="5"/>
      <c r="AF256" s="15" t="s">
        <v>1133</v>
      </c>
      <c r="AG256" s="15" t="s">
        <v>1148</v>
      </c>
      <c r="AH256">
        <f t="shared" si="172"/>
        <v>33.333333333333343</v>
      </c>
      <c r="AI256">
        <f t="shared" si="134"/>
        <v>93</v>
      </c>
      <c r="AJ256" s="12">
        <f t="shared" si="135"/>
        <v>97</v>
      </c>
      <c r="AK256">
        <f t="shared" si="136"/>
        <v>93</v>
      </c>
      <c r="AL256">
        <f t="shared" si="137"/>
        <v>0</v>
      </c>
      <c r="AM256">
        <f t="shared" si="138"/>
        <v>70</v>
      </c>
      <c r="AN256">
        <f t="shared" si="132"/>
        <v>96.000192000384004</v>
      </c>
      <c r="AO256">
        <f t="shared" si="139"/>
        <v>88</v>
      </c>
      <c r="AP256">
        <f t="shared" si="140"/>
        <v>68.223339093344848</v>
      </c>
      <c r="AQ256">
        <f t="shared" si="174"/>
        <v>6</v>
      </c>
      <c r="AR256" t="str">
        <f t="shared" si="141"/>
        <v>CAP-005</v>
      </c>
      <c r="AS256" s="15" t="s">
        <v>1133</v>
      </c>
      <c r="AT256" s="15" t="s">
        <v>1148</v>
      </c>
      <c r="AU256">
        <f t="shared" si="173"/>
        <v>33.333333333333343</v>
      </c>
      <c r="AV256">
        <f t="shared" si="142"/>
        <v>0</v>
      </c>
      <c r="AW256">
        <f t="shared" si="143"/>
        <v>93</v>
      </c>
      <c r="AX256">
        <f t="shared" si="144"/>
        <v>93</v>
      </c>
      <c r="AY256">
        <f t="shared" si="133"/>
        <v>96.000192000384004</v>
      </c>
      <c r="AZ256">
        <f t="shared" si="145"/>
        <v>70</v>
      </c>
      <c r="BA256">
        <f t="shared" si="146"/>
        <v>50.850009600019199</v>
      </c>
      <c r="BB256">
        <f t="shared" si="175"/>
        <v>6</v>
      </c>
      <c r="BC256" t="str">
        <f t="shared" si="147"/>
        <v>CAP-005</v>
      </c>
    </row>
    <row r="257" spans="2:55" ht="39.6" x14ac:dyDescent="0.3">
      <c r="B257" s="5" t="s">
        <v>731</v>
      </c>
      <c r="C257" s="15" t="s">
        <v>1133</v>
      </c>
      <c r="D257" s="5" t="s">
        <v>1150</v>
      </c>
      <c r="E257" s="5" t="s">
        <v>1151</v>
      </c>
      <c r="F257" s="5" t="s">
        <v>33</v>
      </c>
      <c r="G257" s="5">
        <v>65</v>
      </c>
      <c r="H257" s="5">
        <v>7.5</v>
      </c>
      <c r="I257" s="5">
        <v>30000</v>
      </c>
      <c r="J257" s="5">
        <v>225000</v>
      </c>
      <c r="K257" s="5">
        <v>14</v>
      </c>
      <c r="L257" s="5">
        <v>7</v>
      </c>
      <c r="M257" s="5">
        <v>0.25</v>
      </c>
      <c r="N257" s="5">
        <v>96</v>
      </c>
      <c r="O257" s="5">
        <v>60</v>
      </c>
      <c r="P257" s="5" t="s">
        <v>804</v>
      </c>
      <c r="Q257" s="5">
        <v>8.8000000000000007</v>
      </c>
      <c r="R257" s="5">
        <v>9.3000000000000007</v>
      </c>
      <c r="S257" s="5" t="s">
        <v>967</v>
      </c>
      <c r="T257" s="5">
        <v>8.8000000000000007</v>
      </c>
      <c r="U257" s="5" t="s">
        <v>53</v>
      </c>
      <c r="V257" s="5" t="s">
        <v>37</v>
      </c>
      <c r="W257" s="5">
        <v>2</v>
      </c>
      <c r="X257" s="5" t="s">
        <v>38</v>
      </c>
      <c r="Y257" s="5">
        <v>45</v>
      </c>
      <c r="Z257" s="5">
        <v>9.3000000000000007</v>
      </c>
      <c r="AA257" s="5" t="s">
        <v>905</v>
      </c>
      <c r="AB257" s="5" t="s">
        <v>981</v>
      </c>
      <c r="AC257" s="5" t="s">
        <v>1152</v>
      </c>
      <c r="AD257" s="5"/>
      <c r="AF257" s="15" t="s">
        <v>1133</v>
      </c>
      <c r="AG257" s="15" t="s">
        <v>1151</v>
      </c>
      <c r="AH257">
        <f t="shared" si="172"/>
        <v>58.333333333333329</v>
      </c>
      <c r="AI257">
        <f t="shared" si="134"/>
        <v>88</v>
      </c>
      <c r="AJ257" s="12">
        <f t="shared" si="135"/>
        <v>95</v>
      </c>
      <c r="AK257">
        <f t="shared" si="136"/>
        <v>96</v>
      </c>
      <c r="AL257">
        <f t="shared" si="137"/>
        <v>30</v>
      </c>
      <c r="AM257">
        <f t="shared" si="138"/>
        <v>87</v>
      </c>
      <c r="AN257">
        <f t="shared" si="132"/>
        <v>94.000188000375999</v>
      </c>
      <c r="AO257">
        <f t="shared" si="139"/>
        <v>93</v>
      </c>
      <c r="AP257">
        <f t="shared" si="140"/>
        <v>77.263338973344588</v>
      </c>
      <c r="AQ257">
        <f t="shared" si="174"/>
        <v>2</v>
      </c>
      <c r="AR257" t="str">
        <f t="shared" si="141"/>
        <v>CAP-006</v>
      </c>
      <c r="AS257" s="15" t="s">
        <v>1133</v>
      </c>
      <c r="AT257" s="15" t="s">
        <v>1151</v>
      </c>
      <c r="AU257">
        <f t="shared" si="173"/>
        <v>58.333333333333329</v>
      </c>
      <c r="AV257">
        <f t="shared" si="142"/>
        <v>30</v>
      </c>
      <c r="AW257">
        <f t="shared" si="143"/>
        <v>96</v>
      </c>
      <c r="AX257">
        <f t="shared" si="144"/>
        <v>88</v>
      </c>
      <c r="AY257">
        <f t="shared" si="133"/>
        <v>94.000188000375999</v>
      </c>
      <c r="AZ257">
        <f t="shared" si="145"/>
        <v>87</v>
      </c>
      <c r="BA257">
        <f t="shared" si="146"/>
        <v>66.4500094000188</v>
      </c>
      <c r="BB257">
        <f t="shared" si="175"/>
        <v>2</v>
      </c>
      <c r="BC257" t="str">
        <f t="shared" si="147"/>
        <v>CAP-006</v>
      </c>
    </row>
    <row r="258" spans="2:55" ht="39.6" x14ac:dyDescent="0.3">
      <c r="B258" s="5" t="s">
        <v>731</v>
      </c>
      <c r="C258" s="15" t="s">
        <v>1133</v>
      </c>
      <c r="D258" s="5" t="s">
        <v>1153</v>
      </c>
      <c r="E258" s="5" t="s">
        <v>1154</v>
      </c>
      <c r="F258" s="5" t="s">
        <v>59</v>
      </c>
      <c r="G258" s="5">
        <v>200</v>
      </c>
      <c r="H258" s="5">
        <v>8.5</v>
      </c>
      <c r="I258" s="5">
        <v>25000</v>
      </c>
      <c r="J258" s="5">
        <v>212500</v>
      </c>
      <c r="K258" s="5">
        <v>21</v>
      </c>
      <c r="L258" s="5">
        <v>10</v>
      </c>
      <c r="M258" s="5">
        <v>0.18</v>
      </c>
      <c r="N258" s="5">
        <v>95</v>
      </c>
      <c r="O258" s="5">
        <v>45</v>
      </c>
      <c r="P258" s="5" t="s">
        <v>937</v>
      </c>
      <c r="Q258" s="5">
        <v>9.5</v>
      </c>
      <c r="R258" s="5">
        <v>9.1</v>
      </c>
      <c r="S258" s="5" t="s">
        <v>972</v>
      </c>
      <c r="T258" s="5">
        <v>9.8000000000000007</v>
      </c>
      <c r="U258" s="5" t="s">
        <v>53</v>
      </c>
      <c r="V258" s="5" t="s">
        <v>54</v>
      </c>
      <c r="W258" s="5">
        <v>2</v>
      </c>
      <c r="X258" s="5" t="s">
        <v>38</v>
      </c>
      <c r="Y258" s="5">
        <v>50</v>
      </c>
      <c r="Z258" s="5">
        <v>9.1</v>
      </c>
      <c r="AA258" s="5" t="s">
        <v>424</v>
      </c>
      <c r="AB258" s="5" t="s">
        <v>985</v>
      </c>
      <c r="AC258" s="5" t="s">
        <v>1155</v>
      </c>
      <c r="AD258" s="5"/>
      <c r="AF258" s="15" t="s">
        <v>1133</v>
      </c>
      <c r="AG258" s="15" t="s">
        <v>1154</v>
      </c>
      <c r="AH258">
        <f t="shared" si="172"/>
        <v>41.666666666666664</v>
      </c>
      <c r="AI258">
        <f t="shared" si="134"/>
        <v>95</v>
      </c>
      <c r="AJ258" s="12">
        <f t="shared" si="135"/>
        <v>96.4</v>
      </c>
      <c r="AK258">
        <f t="shared" si="136"/>
        <v>95</v>
      </c>
      <c r="AL258">
        <f t="shared" si="137"/>
        <v>0</v>
      </c>
      <c r="AM258">
        <f t="shared" si="138"/>
        <v>60</v>
      </c>
      <c r="AN258">
        <f t="shared" si="132"/>
        <v>95.000190000380002</v>
      </c>
      <c r="AO258">
        <f t="shared" si="139"/>
        <v>91</v>
      </c>
      <c r="AP258">
        <f t="shared" si="140"/>
        <v>70.546672366678052</v>
      </c>
      <c r="AQ258">
        <f t="shared" si="174"/>
        <v>5</v>
      </c>
      <c r="AR258" t="str">
        <f t="shared" si="141"/>
        <v>CAP-007</v>
      </c>
      <c r="AS258" s="15" t="s">
        <v>1133</v>
      </c>
      <c r="AT258" s="15" t="s">
        <v>1154</v>
      </c>
      <c r="AU258">
        <f t="shared" si="173"/>
        <v>41.666666666666664</v>
      </c>
      <c r="AV258">
        <f t="shared" si="142"/>
        <v>0</v>
      </c>
      <c r="AW258">
        <f t="shared" si="143"/>
        <v>95</v>
      </c>
      <c r="AX258">
        <f t="shared" si="144"/>
        <v>95</v>
      </c>
      <c r="AY258">
        <f t="shared" si="133"/>
        <v>95.000190000380002</v>
      </c>
      <c r="AZ258">
        <f t="shared" si="145"/>
        <v>60</v>
      </c>
      <c r="BA258">
        <f t="shared" si="146"/>
        <v>53.500009500018997</v>
      </c>
      <c r="BB258">
        <f t="shared" si="175"/>
        <v>5</v>
      </c>
      <c r="BC258" t="str">
        <f t="shared" si="147"/>
        <v>CAP-007</v>
      </c>
    </row>
    <row r="259" spans="2:55" ht="39.6" x14ac:dyDescent="0.3">
      <c r="B259" s="5" t="s">
        <v>731</v>
      </c>
      <c r="C259" s="15" t="s">
        <v>1133</v>
      </c>
      <c r="D259" s="5" t="s">
        <v>1156</v>
      </c>
      <c r="E259" s="5" t="s">
        <v>1157</v>
      </c>
      <c r="F259" s="5" t="s">
        <v>72</v>
      </c>
      <c r="G259" s="5">
        <v>20</v>
      </c>
      <c r="H259" s="5">
        <v>11</v>
      </c>
      <c r="I259" s="5">
        <v>15000</v>
      </c>
      <c r="J259" s="5">
        <v>165000</v>
      </c>
      <c r="K259" s="5">
        <v>30</v>
      </c>
      <c r="L259" s="5">
        <v>15</v>
      </c>
      <c r="M259" s="5">
        <v>0.12</v>
      </c>
      <c r="N259" s="5">
        <v>94</v>
      </c>
      <c r="O259" s="5">
        <v>30</v>
      </c>
      <c r="P259" s="5" t="s">
        <v>999</v>
      </c>
      <c r="Q259" s="5">
        <v>9.8000000000000007</v>
      </c>
      <c r="R259" s="5">
        <v>9.1999999999999993</v>
      </c>
      <c r="S259" s="5" t="s">
        <v>1158</v>
      </c>
      <c r="T259" s="5">
        <v>9.8000000000000007</v>
      </c>
      <c r="U259" s="5" t="s">
        <v>36</v>
      </c>
      <c r="V259" s="5" t="s">
        <v>37</v>
      </c>
      <c r="W259" s="5">
        <v>1</v>
      </c>
      <c r="X259" s="5" t="s">
        <v>38</v>
      </c>
      <c r="Y259" s="5">
        <v>75</v>
      </c>
      <c r="Z259" s="5">
        <v>9.1999999999999993</v>
      </c>
      <c r="AA259" s="5" t="s">
        <v>1159</v>
      </c>
      <c r="AB259" s="5" t="s">
        <v>1000</v>
      </c>
      <c r="AC259" s="5" t="s">
        <v>1160</v>
      </c>
      <c r="AD259" s="5"/>
      <c r="AF259" s="15" t="s">
        <v>1133</v>
      </c>
      <c r="AG259" s="15" t="s">
        <v>1157</v>
      </c>
      <c r="AH259">
        <f t="shared" si="172"/>
        <v>0</v>
      </c>
      <c r="AI259">
        <f t="shared" si="134"/>
        <v>98</v>
      </c>
      <c r="AJ259" s="12">
        <f t="shared" si="135"/>
        <v>97.6</v>
      </c>
      <c r="AK259">
        <f t="shared" si="136"/>
        <v>94</v>
      </c>
      <c r="AL259">
        <f t="shared" si="137"/>
        <v>0</v>
      </c>
      <c r="AM259">
        <f t="shared" si="138"/>
        <v>96</v>
      </c>
      <c r="AN259">
        <f t="shared" si="132"/>
        <v>97.000194000388007</v>
      </c>
      <c r="AO259">
        <f t="shared" si="139"/>
        <v>92</v>
      </c>
      <c r="AP259">
        <f t="shared" si="140"/>
        <v>62.79000582001165</v>
      </c>
      <c r="AQ259">
        <f t="shared" si="174"/>
        <v>8</v>
      </c>
      <c r="AR259" t="str">
        <f t="shared" si="141"/>
        <v>CAP-008</v>
      </c>
      <c r="AS259" s="15" t="s">
        <v>1133</v>
      </c>
      <c r="AT259" s="15" t="s">
        <v>1157</v>
      </c>
      <c r="AU259">
        <f t="shared" si="173"/>
        <v>0</v>
      </c>
      <c r="AV259">
        <f t="shared" si="142"/>
        <v>0</v>
      </c>
      <c r="AW259">
        <f t="shared" si="143"/>
        <v>94</v>
      </c>
      <c r="AX259">
        <f t="shared" si="144"/>
        <v>98</v>
      </c>
      <c r="AY259">
        <f t="shared" si="133"/>
        <v>97.000194000388007</v>
      </c>
      <c r="AZ259">
        <f t="shared" si="145"/>
        <v>96</v>
      </c>
      <c r="BA259">
        <f t="shared" si="146"/>
        <v>43.150009700019396</v>
      </c>
      <c r="BB259">
        <f t="shared" si="175"/>
        <v>8</v>
      </c>
      <c r="BC259" t="str">
        <f t="shared" si="147"/>
        <v>CAP-008</v>
      </c>
    </row>
    <row r="260" spans="2:55" ht="39.6" x14ac:dyDescent="0.3">
      <c r="B260" s="5" t="s">
        <v>731</v>
      </c>
      <c r="C260" s="15" t="s">
        <v>1161</v>
      </c>
      <c r="D260" s="5" t="s">
        <v>1162</v>
      </c>
      <c r="E260" s="5" t="s">
        <v>1163</v>
      </c>
      <c r="F260" s="5" t="s">
        <v>524</v>
      </c>
      <c r="G260" s="5">
        <v>30</v>
      </c>
      <c r="H260" s="5">
        <v>35</v>
      </c>
      <c r="I260" s="5">
        <v>1000</v>
      </c>
      <c r="J260" s="5">
        <v>35000</v>
      </c>
      <c r="K260" s="5">
        <v>7</v>
      </c>
      <c r="L260" s="5">
        <v>3</v>
      </c>
      <c r="M260" s="5">
        <v>0.2</v>
      </c>
      <c r="N260" s="5">
        <v>98</v>
      </c>
      <c r="O260" s="5">
        <v>60</v>
      </c>
      <c r="P260" s="5" t="s">
        <v>1069</v>
      </c>
      <c r="Q260" s="5">
        <v>9</v>
      </c>
      <c r="R260" s="5">
        <v>9.8000000000000007</v>
      </c>
      <c r="S260" s="5" t="s">
        <v>67</v>
      </c>
      <c r="T260" s="5">
        <v>8.5</v>
      </c>
      <c r="U260" s="5" t="s">
        <v>36</v>
      </c>
      <c r="V260" s="5" t="s">
        <v>37</v>
      </c>
      <c r="W260" s="5">
        <v>2</v>
      </c>
      <c r="X260" s="5" t="s">
        <v>38</v>
      </c>
      <c r="Y260" s="5">
        <v>20</v>
      </c>
      <c r="Z260" s="5">
        <v>9.5</v>
      </c>
      <c r="AA260" s="5" t="s">
        <v>47</v>
      </c>
      <c r="AB260" s="5" t="s">
        <v>1164</v>
      </c>
      <c r="AC260" s="5" t="s">
        <v>1165</v>
      </c>
      <c r="AD260" s="5"/>
      <c r="AF260" s="15" t="s">
        <v>1161</v>
      </c>
      <c r="AG260" s="15" t="s">
        <v>1163</v>
      </c>
      <c r="AH260">
        <f t="shared" ref="AH260:AH267" si="176">100-((H260-MIN($H$260:$H$267))/(MAX($H$260:$H$267)-MIN($H$260:$H$267))*100)</f>
        <v>50</v>
      </c>
      <c r="AI260">
        <f t="shared" si="134"/>
        <v>90</v>
      </c>
      <c r="AJ260" s="12">
        <f t="shared" si="135"/>
        <v>96</v>
      </c>
      <c r="AK260">
        <f t="shared" si="136"/>
        <v>98</v>
      </c>
      <c r="AL260">
        <f t="shared" si="137"/>
        <v>65</v>
      </c>
      <c r="AM260">
        <f t="shared" si="138"/>
        <v>94</v>
      </c>
      <c r="AN260">
        <f t="shared" si="132"/>
        <v>99.800199600399196</v>
      </c>
      <c r="AO260">
        <f t="shared" si="139"/>
        <v>95</v>
      </c>
      <c r="AP260">
        <f t="shared" si="140"/>
        <v>80.19400598801198</v>
      </c>
      <c r="AQ260">
        <f>RANK(AP260, $AP$260:$AP$267, 0)</f>
        <v>3</v>
      </c>
      <c r="AR260" t="str">
        <f t="shared" si="141"/>
        <v>SAFETY-001</v>
      </c>
      <c r="AS260" s="15" t="s">
        <v>1161</v>
      </c>
      <c r="AT260" s="15" t="s">
        <v>1163</v>
      </c>
      <c r="AU260">
        <f t="shared" ref="AU260:AU267" si="177">100-((H260-MIN($H$260:$H$267))/(MAX($H$260:$H$267)-MIN($H$260:$H$267))*100)</f>
        <v>50</v>
      </c>
      <c r="AV260">
        <f t="shared" si="142"/>
        <v>65</v>
      </c>
      <c r="AW260">
        <f t="shared" si="143"/>
        <v>98</v>
      </c>
      <c r="AX260">
        <f t="shared" si="144"/>
        <v>90</v>
      </c>
      <c r="AY260">
        <f t="shared" si="133"/>
        <v>99.800199600399196</v>
      </c>
      <c r="AZ260">
        <f t="shared" si="145"/>
        <v>94</v>
      </c>
      <c r="BA260">
        <f t="shared" si="146"/>
        <v>74.04000998001996</v>
      </c>
      <c r="BB260">
        <f>RANK(BA260, $BA$260:$BA$267, 0)</f>
        <v>3</v>
      </c>
      <c r="BC260" t="str">
        <f t="shared" si="147"/>
        <v>SAFETY-001</v>
      </c>
    </row>
    <row r="261" spans="2:55" ht="39.6" x14ac:dyDescent="0.3">
      <c r="B261" s="5" t="s">
        <v>731</v>
      </c>
      <c r="C261" s="15" t="s">
        <v>1161</v>
      </c>
      <c r="D261" s="5" t="s">
        <v>1166</v>
      </c>
      <c r="E261" s="5" t="s">
        <v>1167</v>
      </c>
      <c r="F261" s="5" t="s">
        <v>223</v>
      </c>
      <c r="G261" s="5">
        <v>40</v>
      </c>
      <c r="H261" s="5">
        <v>30</v>
      </c>
      <c r="I261" s="5">
        <v>2000</v>
      </c>
      <c r="J261" s="5">
        <v>60000</v>
      </c>
      <c r="K261" s="5">
        <v>5</v>
      </c>
      <c r="L261" s="5">
        <v>2</v>
      </c>
      <c r="M261" s="5">
        <v>0.3</v>
      </c>
      <c r="N261" s="5">
        <v>97</v>
      </c>
      <c r="O261" s="5">
        <v>45</v>
      </c>
      <c r="P261" s="5" t="s">
        <v>1066</v>
      </c>
      <c r="Q261" s="5">
        <v>8.5</v>
      </c>
      <c r="R261" s="5">
        <v>9.5</v>
      </c>
      <c r="S261" s="5" t="s">
        <v>52</v>
      </c>
      <c r="T261" s="5">
        <v>8</v>
      </c>
      <c r="U261" s="5" t="s">
        <v>53</v>
      </c>
      <c r="V261" s="5" t="s">
        <v>46</v>
      </c>
      <c r="W261" s="5">
        <v>3</v>
      </c>
      <c r="X261" s="5" t="s">
        <v>38</v>
      </c>
      <c r="Y261" s="5">
        <v>15</v>
      </c>
      <c r="Z261" s="5">
        <v>9</v>
      </c>
      <c r="AA261" s="5" t="s">
        <v>851</v>
      </c>
      <c r="AB261" s="5" t="s">
        <v>1168</v>
      </c>
      <c r="AC261" s="5" t="s">
        <v>1169</v>
      </c>
      <c r="AD261" s="5"/>
      <c r="AF261" s="15" t="s">
        <v>1161</v>
      </c>
      <c r="AG261" s="15" t="s">
        <v>1167</v>
      </c>
      <c r="AH261">
        <f t="shared" si="176"/>
        <v>75</v>
      </c>
      <c r="AI261">
        <f t="shared" si="134"/>
        <v>85</v>
      </c>
      <c r="AJ261" s="12">
        <f t="shared" si="135"/>
        <v>94</v>
      </c>
      <c r="AK261">
        <f t="shared" si="136"/>
        <v>97</v>
      </c>
      <c r="AL261">
        <f t="shared" si="137"/>
        <v>75</v>
      </c>
      <c r="AM261">
        <f t="shared" si="138"/>
        <v>92</v>
      </c>
      <c r="AN261">
        <f t="shared" si="132"/>
        <v>99.600199200398407</v>
      </c>
      <c r="AO261">
        <f t="shared" si="139"/>
        <v>90</v>
      </c>
      <c r="AP261">
        <f t="shared" si="140"/>
        <v>85.538005976011945</v>
      </c>
      <c r="AQ261">
        <f t="shared" ref="AQ261:AQ267" si="178">RANK(AP261, $AP$260:$AP$267, 0)</f>
        <v>1</v>
      </c>
      <c r="AR261" t="str">
        <f t="shared" si="141"/>
        <v>SAFETY-002</v>
      </c>
      <c r="AS261" s="15" t="s">
        <v>1161</v>
      </c>
      <c r="AT261" s="15" t="s">
        <v>1167</v>
      </c>
      <c r="AU261">
        <f t="shared" si="177"/>
        <v>75</v>
      </c>
      <c r="AV261">
        <f t="shared" si="142"/>
        <v>75</v>
      </c>
      <c r="AW261">
        <f t="shared" si="143"/>
        <v>97</v>
      </c>
      <c r="AX261">
        <f t="shared" si="144"/>
        <v>85</v>
      </c>
      <c r="AY261">
        <f t="shared" si="133"/>
        <v>99.600199200398407</v>
      </c>
      <c r="AZ261">
        <f t="shared" si="145"/>
        <v>92</v>
      </c>
      <c r="BA261">
        <f t="shared" si="146"/>
        <v>82.980009960019913</v>
      </c>
      <c r="BB261">
        <f t="shared" ref="BB261:BB267" si="179">RANK(BA261, $BA$260:$BA$267, 0)</f>
        <v>1</v>
      </c>
      <c r="BC261" t="str">
        <f t="shared" si="147"/>
        <v>SAFETY-002</v>
      </c>
    </row>
    <row r="262" spans="2:55" ht="39.6" x14ac:dyDescent="0.3">
      <c r="B262" s="5" t="s">
        <v>731</v>
      </c>
      <c r="C262" s="15" t="s">
        <v>1161</v>
      </c>
      <c r="D262" s="5" t="s">
        <v>1170</v>
      </c>
      <c r="E262" s="5" t="s">
        <v>1171</v>
      </c>
      <c r="F262" s="5" t="s">
        <v>72</v>
      </c>
      <c r="G262" s="5">
        <v>15</v>
      </c>
      <c r="H262" s="5">
        <v>40</v>
      </c>
      <c r="I262" s="5">
        <v>500</v>
      </c>
      <c r="J262" s="5">
        <v>20000</v>
      </c>
      <c r="K262" s="5">
        <v>10</v>
      </c>
      <c r="L262" s="5">
        <v>5</v>
      </c>
      <c r="M262" s="5">
        <v>0.1</v>
      </c>
      <c r="N262" s="5">
        <v>99</v>
      </c>
      <c r="O262" s="5">
        <v>30</v>
      </c>
      <c r="P262" s="5" t="s">
        <v>1076</v>
      </c>
      <c r="Q262" s="5">
        <v>9.5</v>
      </c>
      <c r="R262" s="5">
        <v>9.9</v>
      </c>
      <c r="S262" s="5" t="s">
        <v>404</v>
      </c>
      <c r="T262" s="5">
        <v>9.1999999999999993</v>
      </c>
      <c r="U262" s="5" t="s">
        <v>36</v>
      </c>
      <c r="V262" s="5" t="s">
        <v>37</v>
      </c>
      <c r="W262" s="5">
        <v>1</v>
      </c>
      <c r="X262" s="5" t="s">
        <v>38</v>
      </c>
      <c r="Y262" s="5">
        <v>25</v>
      </c>
      <c r="Z262" s="5">
        <v>9.9</v>
      </c>
      <c r="AA262" s="5" t="s">
        <v>40</v>
      </c>
      <c r="AB262" s="5" t="s">
        <v>1172</v>
      </c>
      <c r="AC262" s="5" t="s">
        <v>1173</v>
      </c>
      <c r="AD262" s="5"/>
      <c r="AF262" s="15" t="s">
        <v>1161</v>
      </c>
      <c r="AG262" s="15" t="s">
        <v>1171</v>
      </c>
      <c r="AH262">
        <f t="shared" si="176"/>
        <v>25</v>
      </c>
      <c r="AI262">
        <f t="shared" si="134"/>
        <v>95</v>
      </c>
      <c r="AJ262" s="12">
        <f t="shared" si="135"/>
        <v>98</v>
      </c>
      <c r="AK262">
        <f t="shared" si="136"/>
        <v>99</v>
      </c>
      <c r="AL262">
        <f t="shared" si="137"/>
        <v>50</v>
      </c>
      <c r="AM262">
        <f t="shared" si="138"/>
        <v>97</v>
      </c>
      <c r="AN262">
        <f t="shared" si="132"/>
        <v>99.900199800399605</v>
      </c>
      <c r="AO262">
        <f t="shared" si="139"/>
        <v>99</v>
      </c>
      <c r="AP262">
        <f t="shared" si="140"/>
        <v>74.377005994011995</v>
      </c>
      <c r="AQ262">
        <f t="shared" si="178"/>
        <v>5</v>
      </c>
      <c r="AR262" t="str">
        <f t="shared" si="141"/>
        <v>SAFETY-003</v>
      </c>
      <c r="AS262" s="15" t="s">
        <v>1161</v>
      </c>
      <c r="AT262" s="15" t="s">
        <v>1171</v>
      </c>
      <c r="AU262">
        <f t="shared" si="177"/>
        <v>25</v>
      </c>
      <c r="AV262">
        <f t="shared" si="142"/>
        <v>50</v>
      </c>
      <c r="AW262">
        <f t="shared" si="143"/>
        <v>99</v>
      </c>
      <c r="AX262">
        <f t="shared" si="144"/>
        <v>95</v>
      </c>
      <c r="AY262">
        <f t="shared" si="133"/>
        <v>99.900199800399605</v>
      </c>
      <c r="AZ262">
        <f t="shared" si="145"/>
        <v>97</v>
      </c>
      <c r="BA262">
        <f t="shared" si="146"/>
        <v>63.895009990019979</v>
      </c>
      <c r="BB262">
        <f t="shared" si="179"/>
        <v>6</v>
      </c>
      <c r="BC262" t="str">
        <f t="shared" si="147"/>
        <v>SAFETY-003</v>
      </c>
    </row>
    <row r="263" spans="2:55" ht="39.6" x14ac:dyDescent="0.3">
      <c r="B263" s="5" t="s">
        <v>731</v>
      </c>
      <c r="C263" s="15" t="s">
        <v>1161</v>
      </c>
      <c r="D263" s="5" t="s">
        <v>1174</v>
      </c>
      <c r="E263" s="5" t="s">
        <v>1175</v>
      </c>
      <c r="F263" s="5" t="s">
        <v>78</v>
      </c>
      <c r="G263" s="5">
        <v>1400</v>
      </c>
      <c r="H263" s="5">
        <v>25</v>
      </c>
      <c r="I263" s="5">
        <v>5000</v>
      </c>
      <c r="J263" s="5">
        <v>125000</v>
      </c>
      <c r="K263" s="5">
        <v>14</v>
      </c>
      <c r="L263" s="5">
        <v>7</v>
      </c>
      <c r="M263" s="5">
        <v>0.5</v>
      </c>
      <c r="N263" s="5">
        <v>90</v>
      </c>
      <c r="O263" s="5">
        <v>90</v>
      </c>
      <c r="P263" s="5" t="s">
        <v>1038</v>
      </c>
      <c r="Q263" s="5">
        <v>7.5</v>
      </c>
      <c r="R263" s="5">
        <v>8.5</v>
      </c>
      <c r="S263" s="5" t="s">
        <v>54</v>
      </c>
      <c r="T263" s="5">
        <v>6.5</v>
      </c>
      <c r="U263" s="5" t="s">
        <v>174</v>
      </c>
      <c r="V263" s="5" t="s">
        <v>54</v>
      </c>
      <c r="W263" s="5">
        <v>3</v>
      </c>
      <c r="X263" s="5" t="s">
        <v>68</v>
      </c>
      <c r="Y263" s="5">
        <v>10</v>
      </c>
      <c r="Z263" s="5">
        <v>6.5</v>
      </c>
      <c r="AA263" s="5" t="s">
        <v>54</v>
      </c>
      <c r="AB263" s="5" t="s">
        <v>847</v>
      </c>
      <c r="AC263" s="5" t="s">
        <v>1176</v>
      </c>
      <c r="AD263" s="5"/>
      <c r="AF263" s="15" t="s">
        <v>1161</v>
      </c>
      <c r="AG263" s="15" t="s">
        <v>1175</v>
      </c>
      <c r="AH263">
        <f t="shared" si="176"/>
        <v>100</v>
      </c>
      <c r="AI263">
        <f t="shared" si="134"/>
        <v>75</v>
      </c>
      <c r="AJ263" s="12">
        <f t="shared" si="135"/>
        <v>90</v>
      </c>
      <c r="AK263">
        <f t="shared" si="136"/>
        <v>90</v>
      </c>
      <c r="AL263">
        <f t="shared" si="137"/>
        <v>30</v>
      </c>
      <c r="AM263">
        <f t="shared" si="138"/>
        <v>0</v>
      </c>
      <c r="AN263">
        <f t="shared" si="132"/>
        <v>99.000198000395997</v>
      </c>
      <c r="AO263">
        <f t="shared" si="139"/>
        <v>65</v>
      </c>
      <c r="AP263">
        <f t="shared" si="140"/>
        <v>78.02000594001187</v>
      </c>
      <c r="AQ263">
        <f t="shared" si="178"/>
        <v>4</v>
      </c>
      <c r="AR263" t="str">
        <f t="shared" si="141"/>
        <v>SAFETY-004</v>
      </c>
      <c r="AS263" s="15" t="s">
        <v>1161</v>
      </c>
      <c r="AT263" s="15" t="s">
        <v>1175</v>
      </c>
      <c r="AU263">
        <f t="shared" si="177"/>
        <v>100</v>
      </c>
      <c r="AV263">
        <f t="shared" si="142"/>
        <v>30</v>
      </c>
      <c r="AW263">
        <f t="shared" si="143"/>
        <v>90</v>
      </c>
      <c r="AX263">
        <f t="shared" si="144"/>
        <v>75</v>
      </c>
      <c r="AY263">
        <f t="shared" si="133"/>
        <v>99.000198000395997</v>
      </c>
      <c r="AZ263">
        <f t="shared" si="145"/>
        <v>0</v>
      </c>
      <c r="BA263">
        <f t="shared" si="146"/>
        <v>71.700009900019808</v>
      </c>
      <c r="BB263">
        <f t="shared" si="179"/>
        <v>4</v>
      </c>
      <c r="BC263" t="str">
        <f t="shared" si="147"/>
        <v>SAFETY-004</v>
      </c>
    </row>
    <row r="264" spans="2:55" ht="39.6" x14ac:dyDescent="0.3">
      <c r="B264" s="5" t="s">
        <v>731</v>
      </c>
      <c r="C264" s="15" t="s">
        <v>1161</v>
      </c>
      <c r="D264" s="5" t="s">
        <v>1177</v>
      </c>
      <c r="E264" s="5" t="s">
        <v>1178</v>
      </c>
      <c r="F264" s="5" t="s">
        <v>84</v>
      </c>
      <c r="G264" s="5">
        <v>150</v>
      </c>
      <c r="H264" s="5">
        <v>38</v>
      </c>
      <c r="I264" s="5">
        <v>800</v>
      </c>
      <c r="J264" s="5">
        <v>30400</v>
      </c>
      <c r="K264" s="5">
        <v>10</v>
      </c>
      <c r="L264" s="5">
        <v>5</v>
      </c>
      <c r="M264" s="5">
        <v>0.15</v>
      </c>
      <c r="N264" s="5">
        <v>96</v>
      </c>
      <c r="O264" s="5">
        <v>45</v>
      </c>
      <c r="P264" s="5" t="s">
        <v>1093</v>
      </c>
      <c r="Q264" s="5">
        <v>9.1999999999999993</v>
      </c>
      <c r="R264" s="5">
        <v>9.1999999999999993</v>
      </c>
      <c r="S264" s="5" t="s">
        <v>805</v>
      </c>
      <c r="T264" s="5">
        <v>9.5</v>
      </c>
      <c r="U264" s="5" t="s">
        <v>53</v>
      </c>
      <c r="V264" s="5" t="s">
        <v>46</v>
      </c>
      <c r="W264" s="5">
        <v>2</v>
      </c>
      <c r="X264" s="5" t="s">
        <v>38</v>
      </c>
      <c r="Y264" s="5">
        <v>18</v>
      </c>
      <c r="Z264" s="5">
        <v>9.1999999999999993</v>
      </c>
      <c r="AA264" s="5" t="s">
        <v>886</v>
      </c>
      <c r="AB264" s="5" t="s">
        <v>1179</v>
      </c>
      <c r="AC264" s="5" t="s">
        <v>805</v>
      </c>
      <c r="AD264" s="5"/>
      <c r="AF264" s="15" t="s">
        <v>1161</v>
      </c>
      <c r="AG264" s="15" t="s">
        <v>1178</v>
      </c>
      <c r="AH264">
        <f t="shared" si="176"/>
        <v>35</v>
      </c>
      <c r="AI264">
        <f t="shared" si="134"/>
        <v>92</v>
      </c>
      <c r="AJ264" s="12">
        <f t="shared" si="135"/>
        <v>97</v>
      </c>
      <c r="AK264">
        <f t="shared" si="136"/>
        <v>96</v>
      </c>
      <c r="AL264">
        <f t="shared" si="137"/>
        <v>50</v>
      </c>
      <c r="AM264">
        <f t="shared" si="138"/>
        <v>70</v>
      </c>
      <c r="AN264">
        <f t="shared" si="132"/>
        <v>99.840199680399365</v>
      </c>
      <c r="AO264">
        <f t="shared" si="139"/>
        <v>92</v>
      </c>
      <c r="AP264">
        <f t="shared" si="140"/>
        <v>74.035205990411967</v>
      </c>
      <c r="AQ264">
        <f t="shared" si="178"/>
        <v>6</v>
      </c>
      <c r="AR264" t="str">
        <f t="shared" si="141"/>
        <v>SAFETY-005</v>
      </c>
      <c r="AS264" s="15" t="s">
        <v>1161</v>
      </c>
      <c r="AT264" s="15" t="s">
        <v>1178</v>
      </c>
      <c r="AU264">
        <f t="shared" si="177"/>
        <v>35</v>
      </c>
      <c r="AV264">
        <f t="shared" si="142"/>
        <v>50</v>
      </c>
      <c r="AW264">
        <f t="shared" si="143"/>
        <v>96</v>
      </c>
      <c r="AX264">
        <f t="shared" si="144"/>
        <v>92</v>
      </c>
      <c r="AY264">
        <f t="shared" si="133"/>
        <v>99.840199680399365</v>
      </c>
      <c r="AZ264">
        <f t="shared" si="145"/>
        <v>70</v>
      </c>
      <c r="BA264">
        <f t="shared" si="146"/>
        <v>64.492009984019973</v>
      </c>
      <c r="BB264">
        <f t="shared" si="179"/>
        <v>5</v>
      </c>
      <c r="BC264" t="str">
        <f t="shared" si="147"/>
        <v>SAFETY-005</v>
      </c>
    </row>
    <row r="265" spans="2:55" ht="39.6" x14ac:dyDescent="0.3">
      <c r="B265" s="5" t="s">
        <v>731</v>
      </c>
      <c r="C265" s="15" t="s">
        <v>1161</v>
      </c>
      <c r="D265" s="5" t="s">
        <v>1180</v>
      </c>
      <c r="E265" s="5" t="s">
        <v>1181</v>
      </c>
      <c r="F265" s="5" t="s">
        <v>33</v>
      </c>
      <c r="G265" s="5">
        <v>65</v>
      </c>
      <c r="H265" s="5">
        <v>32</v>
      </c>
      <c r="I265" s="5">
        <v>1500</v>
      </c>
      <c r="J265" s="5">
        <v>48000</v>
      </c>
      <c r="K265" s="5">
        <v>7</v>
      </c>
      <c r="L265" s="5">
        <v>3</v>
      </c>
      <c r="M265" s="5">
        <v>0.25</v>
      </c>
      <c r="N265" s="5">
        <v>97</v>
      </c>
      <c r="O265" s="5">
        <v>60</v>
      </c>
      <c r="P265" s="5" t="s">
        <v>1048</v>
      </c>
      <c r="Q265" s="5">
        <v>8.8000000000000007</v>
      </c>
      <c r="R265" s="5">
        <v>9.6</v>
      </c>
      <c r="S265" s="5" t="s">
        <v>67</v>
      </c>
      <c r="T265" s="5">
        <v>8.8000000000000007</v>
      </c>
      <c r="U265" s="5" t="s">
        <v>53</v>
      </c>
      <c r="V265" s="5" t="s">
        <v>37</v>
      </c>
      <c r="W265" s="5">
        <v>2</v>
      </c>
      <c r="X265" s="5" t="s">
        <v>38</v>
      </c>
      <c r="Y265" s="5">
        <v>22</v>
      </c>
      <c r="Z265" s="5">
        <v>9.6</v>
      </c>
      <c r="AA265" s="5" t="s">
        <v>1182</v>
      </c>
      <c r="AB265" s="5" t="s">
        <v>1164</v>
      </c>
      <c r="AC265" s="5" t="s">
        <v>778</v>
      </c>
      <c r="AD265" s="5"/>
      <c r="AF265" s="15" t="s">
        <v>1161</v>
      </c>
      <c r="AG265" s="15" t="s">
        <v>1181</v>
      </c>
      <c r="AH265">
        <f t="shared" si="176"/>
        <v>65</v>
      </c>
      <c r="AI265">
        <f t="shared" ref="AI265:AI267" si="180">Q265*10</f>
        <v>88</v>
      </c>
      <c r="AJ265" s="12">
        <f t="shared" ref="AJ265:AJ267" si="181">MAX(0, 100-(M265*20))</f>
        <v>95</v>
      </c>
      <c r="AK265">
        <f t="shared" ref="AK265:AK267" si="182">N265</f>
        <v>97</v>
      </c>
      <c r="AL265">
        <f t="shared" ref="AL265:AL267" si="183">MAX(0, 100-(K265*5))</f>
        <v>65</v>
      </c>
      <c r="AM265">
        <f t="shared" ref="AM265:AM267" si="184">MAX(0, 100-(G265/5))</f>
        <v>87</v>
      </c>
      <c r="AN265">
        <f t="shared" si="132"/>
        <v>99.700199400398802</v>
      </c>
      <c r="AO265">
        <f t="shared" ref="AO265:AO267" si="185">Z265*10</f>
        <v>96</v>
      </c>
      <c r="AP265">
        <f t="shared" ref="AP265:AP267" si="186">SUM(AH265*0.25, AI265*0.25, AJ265*0.15, AK265*0.15, AL265*0.1, AM265*0.05,AN265*0.03,AO265*0.02)</f>
        <v>82.811005982011963</v>
      </c>
      <c r="AQ265">
        <f t="shared" si="178"/>
        <v>2</v>
      </c>
      <c r="AR265" t="str">
        <f t="shared" ref="AR265:AR267" si="187">D265</f>
        <v>SAFETY-006</v>
      </c>
      <c r="AS265" s="15" t="s">
        <v>1161</v>
      </c>
      <c r="AT265" s="15" t="s">
        <v>1181</v>
      </c>
      <c r="AU265">
        <f t="shared" si="177"/>
        <v>65</v>
      </c>
      <c r="AV265">
        <f t="shared" ref="AV265:AV267" si="188">MAX(0, 100-(K265*5))</f>
        <v>65</v>
      </c>
      <c r="AW265">
        <f t="shared" ref="AW265:AW267" si="189">N265</f>
        <v>97</v>
      </c>
      <c r="AX265">
        <f t="shared" ref="AX265:AX267" si="190">Q265*10</f>
        <v>88</v>
      </c>
      <c r="AY265">
        <f t="shared" si="133"/>
        <v>99.700199400398802</v>
      </c>
      <c r="AZ265">
        <f t="shared" ref="AZ265:AZ267" si="191">MAX(0, 100-(G265/5))</f>
        <v>87</v>
      </c>
      <c r="BA265">
        <f t="shared" ref="BA265:BA267" si="192">SUM(AU265*0.3,AV265*0.25,AW265*0.2,AX265*0.15,AY265*0.05,AZ265*0.05)</f>
        <v>77.685009970019948</v>
      </c>
      <c r="BB265">
        <f t="shared" si="179"/>
        <v>2</v>
      </c>
      <c r="BC265" t="str">
        <f t="shared" ref="BC265:BC267" si="193">D265</f>
        <v>SAFETY-006</v>
      </c>
    </row>
    <row r="266" spans="2:55" ht="39.6" x14ac:dyDescent="0.3">
      <c r="B266" s="5" t="s">
        <v>731</v>
      </c>
      <c r="C266" s="15" t="s">
        <v>1161</v>
      </c>
      <c r="D266" s="5" t="s">
        <v>1183</v>
      </c>
      <c r="E266" s="5" t="s">
        <v>1184</v>
      </c>
      <c r="F266" s="5" t="s">
        <v>72</v>
      </c>
      <c r="G266" s="5">
        <v>20</v>
      </c>
      <c r="H266" s="5">
        <v>45</v>
      </c>
      <c r="I266" s="5">
        <v>600</v>
      </c>
      <c r="J266" s="5">
        <v>27000</v>
      </c>
      <c r="K266" s="5">
        <v>14</v>
      </c>
      <c r="L266" s="5">
        <v>7</v>
      </c>
      <c r="M266" s="5">
        <v>0.12</v>
      </c>
      <c r="N266" s="5">
        <v>98</v>
      </c>
      <c r="O266" s="5">
        <v>30</v>
      </c>
      <c r="P266" s="5" t="s">
        <v>1099</v>
      </c>
      <c r="Q266" s="5">
        <v>9.3000000000000007</v>
      </c>
      <c r="R266" s="5">
        <v>9.4</v>
      </c>
      <c r="S266" s="5" t="s">
        <v>851</v>
      </c>
      <c r="T266" s="5">
        <v>9.3000000000000007</v>
      </c>
      <c r="U266" s="5" t="s">
        <v>53</v>
      </c>
      <c r="V266" s="5" t="s">
        <v>54</v>
      </c>
      <c r="W266" s="5">
        <v>1</v>
      </c>
      <c r="X266" s="5" t="s">
        <v>38</v>
      </c>
      <c r="Y266" s="5">
        <v>30</v>
      </c>
      <c r="Z266" s="5">
        <v>9.4</v>
      </c>
      <c r="AA266" s="5" t="s">
        <v>1149</v>
      </c>
      <c r="AB266" s="5" t="s">
        <v>851</v>
      </c>
      <c r="AC266" s="5" t="s">
        <v>851</v>
      </c>
      <c r="AD266" s="5"/>
      <c r="AF266" s="15" t="s">
        <v>1161</v>
      </c>
      <c r="AG266" s="15" t="s">
        <v>1184</v>
      </c>
      <c r="AH266">
        <f t="shared" si="176"/>
        <v>0</v>
      </c>
      <c r="AI266">
        <f t="shared" si="180"/>
        <v>93</v>
      </c>
      <c r="AJ266" s="12">
        <f t="shared" si="181"/>
        <v>97.6</v>
      </c>
      <c r="AK266">
        <f t="shared" si="182"/>
        <v>98</v>
      </c>
      <c r="AL266">
        <f t="shared" si="183"/>
        <v>30</v>
      </c>
      <c r="AM266">
        <f t="shared" si="184"/>
        <v>96</v>
      </c>
      <c r="AN266">
        <f t="shared" si="132"/>
        <v>99.88019976039952</v>
      </c>
      <c r="AO266">
        <f t="shared" si="185"/>
        <v>94</v>
      </c>
      <c r="AP266">
        <f t="shared" si="186"/>
        <v>65.266405992811983</v>
      </c>
      <c r="AQ266">
        <f t="shared" si="178"/>
        <v>8</v>
      </c>
      <c r="AR266" t="str">
        <f t="shared" si="187"/>
        <v>SAFETY-007</v>
      </c>
      <c r="AS266" s="15" t="s">
        <v>1161</v>
      </c>
      <c r="AT266" s="15" t="s">
        <v>1184</v>
      </c>
      <c r="AU266">
        <f t="shared" si="177"/>
        <v>0</v>
      </c>
      <c r="AV266">
        <f t="shared" si="188"/>
        <v>30</v>
      </c>
      <c r="AW266">
        <f t="shared" si="189"/>
        <v>98</v>
      </c>
      <c r="AX266">
        <f t="shared" si="190"/>
        <v>93</v>
      </c>
      <c r="AY266">
        <f t="shared" si="133"/>
        <v>99.88019976039952</v>
      </c>
      <c r="AZ266">
        <f t="shared" si="191"/>
        <v>96</v>
      </c>
      <c r="BA266">
        <f t="shared" si="192"/>
        <v>50.844009988019977</v>
      </c>
      <c r="BB266">
        <f t="shared" si="179"/>
        <v>8</v>
      </c>
      <c r="BC266" t="str">
        <f t="shared" si="193"/>
        <v>SAFETY-007</v>
      </c>
    </row>
    <row r="267" spans="2:55" ht="39.6" x14ac:dyDescent="0.3">
      <c r="B267" s="5" t="s">
        <v>731</v>
      </c>
      <c r="C267" s="15" t="s">
        <v>1161</v>
      </c>
      <c r="D267" s="5" t="s">
        <v>1185</v>
      </c>
      <c r="E267" s="5" t="s">
        <v>1186</v>
      </c>
      <c r="F267" s="5" t="s">
        <v>59</v>
      </c>
      <c r="G267" s="5">
        <v>200</v>
      </c>
      <c r="H267" s="5">
        <v>42</v>
      </c>
      <c r="I267" s="5">
        <v>700</v>
      </c>
      <c r="J267" s="5">
        <v>29400</v>
      </c>
      <c r="K267" s="5">
        <v>10</v>
      </c>
      <c r="L267" s="5">
        <v>5</v>
      </c>
      <c r="M267" s="5">
        <v>0.18</v>
      </c>
      <c r="N267" s="5">
        <v>95</v>
      </c>
      <c r="O267" s="5">
        <v>45</v>
      </c>
      <c r="P267" s="5" t="s">
        <v>1187</v>
      </c>
      <c r="Q267" s="5">
        <v>9.5</v>
      </c>
      <c r="R267" s="5">
        <v>9.1</v>
      </c>
      <c r="S267" s="5" t="s">
        <v>967</v>
      </c>
      <c r="T267" s="5">
        <v>9.5</v>
      </c>
      <c r="U267" s="5" t="s">
        <v>53</v>
      </c>
      <c r="V267" s="5" t="s">
        <v>46</v>
      </c>
      <c r="W267" s="5">
        <v>2</v>
      </c>
      <c r="X267" s="5" t="s">
        <v>38</v>
      </c>
      <c r="Y267" s="5">
        <v>25</v>
      </c>
      <c r="Z267" s="5">
        <v>9.1</v>
      </c>
      <c r="AA267" s="5" t="s">
        <v>967</v>
      </c>
      <c r="AB267" s="5" t="s">
        <v>1168</v>
      </c>
      <c r="AC267" s="5" t="s">
        <v>905</v>
      </c>
      <c r="AD267" s="5"/>
      <c r="AF267" s="15" t="s">
        <v>1161</v>
      </c>
      <c r="AG267" s="15" t="s">
        <v>1186</v>
      </c>
      <c r="AH267">
        <f t="shared" si="176"/>
        <v>15</v>
      </c>
      <c r="AI267">
        <f t="shared" si="180"/>
        <v>95</v>
      </c>
      <c r="AJ267" s="12">
        <f t="shared" si="181"/>
        <v>96.4</v>
      </c>
      <c r="AK267">
        <f t="shared" si="182"/>
        <v>95</v>
      </c>
      <c r="AL267">
        <f t="shared" si="183"/>
        <v>50</v>
      </c>
      <c r="AM267">
        <f t="shared" si="184"/>
        <v>60</v>
      </c>
      <c r="AN267">
        <f t="shared" si="132"/>
        <v>99.860199720399436</v>
      </c>
      <c r="AO267">
        <f t="shared" si="185"/>
        <v>91</v>
      </c>
      <c r="AP267">
        <f t="shared" si="186"/>
        <v>69.025805991611989</v>
      </c>
      <c r="AQ267">
        <f t="shared" si="178"/>
        <v>7</v>
      </c>
      <c r="AR267" t="str">
        <f t="shared" si="187"/>
        <v>SAFETY-008</v>
      </c>
      <c r="AS267" s="15" t="s">
        <v>1161</v>
      </c>
      <c r="AT267" s="15" t="s">
        <v>1186</v>
      </c>
      <c r="AU267">
        <f t="shared" si="177"/>
        <v>15</v>
      </c>
      <c r="AV267">
        <f t="shared" si="188"/>
        <v>50</v>
      </c>
      <c r="AW267">
        <f t="shared" si="189"/>
        <v>95</v>
      </c>
      <c r="AX267">
        <f t="shared" si="190"/>
        <v>95</v>
      </c>
      <c r="AY267">
        <f t="shared" si="133"/>
        <v>99.860199720399436</v>
      </c>
      <c r="AZ267">
        <f t="shared" si="191"/>
        <v>60</v>
      </c>
      <c r="BA267">
        <f t="shared" si="192"/>
        <v>58.24300998601997</v>
      </c>
      <c r="BB267">
        <f t="shared" si="179"/>
        <v>7</v>
      </c>
      <c r="BC267" t="str">
        <f t="shared" si="193"/>
        <v>SAFETY-008</v>
      </c>
    </row>
  </sheetData>
  <mergeCells count="2">
    <mergeCell ref="AH4:AP4"/>
    <mergeCell ref="AU4:B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706A-CEB6-435C-BAE7-93F768D80C55}">
  <dimension ref="B1:AB17"/>
  <sheetViews>
    <sheetView tabSelected="1" topLeftCell="J1" zoomScale="90" workbookViewId="0">
      <selection activeCell="T4" sqref="T4:W4"/>
    </sheetView>
  </sheetViews>
  <sheetFormatPr defaultRowHeight="14.4" x14ac:dyDescent="0.3"/>
  <cols>
    <col min="2" max="2" width="14.109375" bestFit="1" customWidth="1"/>
    <col min="3" max="3" width="19.88671875" bestFit="1" customWidth="1"/>
    <col min="4" max="4" width="12.21875" bestFit="1" customWidth="1"/>
    <col min="5" max="5" width="12.44140625" bestFit="1" customWidth="1"/>
    <col min="6" max="6" width="12.109375" bestFit="1" customWidth="1"/>
    <col min="7" max="7" width="10.33203125" bestFit="1" customWidth="1"/>
    <col min="8" max="8" width="15.77734375" bestFit="1" customWidth="1"/>
    <col min="9" max="9" width="13.88671875" bestFit="1" customWidth="1"/>
    <col min="10" max="10" width="12.21875" bestFit="1" customWidth="1"/>
    <col min="11" max="11" width="16.77734375" bestFit="1" customWidth="1"/>
    <col min="12" max="12" width="14.77734375" bestFit="1" customWidth="1"/>
    <col min="13" max="13" width="5.33203125" bestFit="1" customWidth="1"/>
    <col min="14" max="15" width="10.44140625" customWidth="1"/>
    <col min="16" max="16" width="7.21875" style="27" customWidth="1"/>
    <col min="17" max="17" width="8.77734375" customWidth="1"/>
    <col min="18" max="18" width="14.5546875" bestFit="1" customWidth="1"/>
    <col min="19" max="19" width="17.33203125" bestFit="1" customWidth="1"/>
    <col min="20" max="20" width="12" bestFit="1" customWidth="1"/>
    <col min="21" max="21" width="15.5546875" bestFit="1" customWidth="1"/>
    <col min="22" max="22" width="10.33203125" bestFit="1" customWidth="1"/>
    <col min="23" max="23" width="13.88671875" bestFit="1" customWidth="1"/>
    <col min="25" max="25" width="13.6640625" bestFit="1" customWidth="1"/>
    <col min="26" max="26" width="14.44140625" bestFit="1" customWidth="1"/>
    <col min="27" max="27" width="5" bestFit="1" customWidth="1"/>
    <col min="28" max="28" width="11.5546875" bestFit="1" customWidth="1"/>
  </cols>
  <sheetData>
    <row r="1" spans="2:28" ht="15" thickBot="1" x14ac:dyDescent="0.35"/>
    <row r="2" spans="2:28" ht="18" thickBot="1" x14ac:dyDescent="0.5">
      <c r="B2" s="32" t="s">
        <v>1196</v>
      </c>
      <c r="C2" s="33"/>
      <c r="D2" s="33"/>
      <c r="E2" s="33"/>
      <c r="F2" s="33"/>
      <c r="G2" s="33"/>
      <c r="H2" s="33"/>
      <c r="I2" s="34"/>
      <c r="R2" s="41" t="s">
        <v>1216</v>
      </c>
      <c r="S2" s="42"/>
      <c r="T2" s="42"/>
      <c r="U2" s="42"/>
      <c r="V2" s="42"/>
      <c r="W2" s="42"/>
      <c r="X2" s="42"/>
      <c r="Y2" s="42"/>
      <c r="Z2" s="42"/>
      <c r="AA2" s="42"/>
      <c r="AB2" s="43"/>
    </row>
    <row r="3" spans="2:28" ht="15" thickBot="1" x14ac:dyDescent="0.35"/>
    <row r="4" spans="2:28" ht="15" thickBot="1" x14ac:dyDescent="0.35">
      <c r="D4" s="35" t="s">
        <v>591</v>
      </c>
      <c r="E4" s="36"/>
      <c r="F4" s="36"/>
      <c r="G4" s="37"/>
      <c r="T4" s="38" t="s">
        <v>1073</v>
      </c>
      <c r="U4" s="39"/>
      <c r="V4" s="39"/>
      <c r="W4" s="40"/>
    </row>
    <row r="5" spans="2:28" ht="15" thickBot="1" x14ac:dyDescent="0.35"/>
    <row r="6" spans="2:28" ht="15" thickBot="1" x14ac:dyDescent="0.35">
      <c r="B6" s="20" t="s">
        <v>29</v>
      </c>
      <c r="C6" s="21" t="s">
        <v>3</v>
      </c>
      <c r="D6" s="22" t="s">
        <v>1204</v>
      </c>
      <c r="E6" s="22" t="s">
        <v>1206</v>
      </c>
      <c r="F6" s="22" t="s">
        <v>1205</v>
      </c>
      <c r="G6" s="22" t="s">
        <v>1207</v>
      </c>
      <c r="H6" s="22" t="s">
        <v>1208</v>
      </c>
      <c r="I6" s="22" t="s">
        <v>1209</v>
      </c>
      <c r="J6" s="22" t="s">
        <v>1210</v>
      </c>
      <c r="K6" s="22" t="s">
        <v>1214</v>
      </c>
      <c r="L6" s="22" t="s">
        <v>1211</v>
      </c>
      <c r="M6" s="22" t="s">
        <v>1212</v>
      </c>
      <c r="N6" s="23" t="s">
        <v>2</v>
      </c>
      <c r="R6" s="24" t="s">
        <v>29</v>
      </c>
      <c r="S6" s="25" t="s">
        <v>3</v>
      </c>
      <c r="T6" s="25" t="s">
        <v>1204</v>
      </c>
      <c r="U6" s="25" t="s">
        <v>1208</v>
      </c>
      <c r="V6" s="25" t="s">
        <v>1207</v>
      </c>
      <c r="W6" s="25" t="s">
        <v>1206</v>
      </c>
      <c r="X6" s="25" t="s">
        <v>1210</v>
      </c>
      <c r="Y6" s="25" t="s">
        <v>1209</v>
      </c>
      <c r="Z6" s="25" t="s">
        <v>1211</v>
      </c>
      <c r="AA6" s="25" t="s">
        <v>1212</v>
      </c>
      <c r="AB6" s="26" t="s">
        <v>2</v>
      </c>
    </row>
    <row r="7" spans="2:28" x14ac:dyDescent="0.3">
      <c r="R7" t="str" cm="1">
        <f t="array" ref="R7:AB14">_xlfn._xlws.FILTER(scorecard!AS:BC,scorecard!AS:AS=suppliers_rank!$T$4,)</f>
        <v>Cold Chain Crates</v>
      </c>
      <c r="S7" t="str">
        <v>Plastic Crates</v>
      </c>
      <c r="T7">
        <v>76.92307692307692</v>
      </c>
      <c r="U7">
        <v>30</v>
      </c>
      <c r="V7">
        <v>98</v>
      </c>
      <c r="W7">
        <v>90</v>
      </c>
      <c r="X7">
        <v>99.900199800399605</v>
      </c>
      <c r="Y7">
        <v>97</v>
      </c>
      <c r="Z7">
        <v>73.521933066943049</v>
      </c>
      <c r="AA7">
        <v>1</v>
      </c>
      <c r="AB7" t="str">
        <v>CRATE-001</v>
      </c>
    </row>
    <row r="8" spans="2:28" x14ac:dyDescent="0.3">
      <c r="B8" t="str" cm="1">
        <f t="array" ref="B8:N17">_xlfn._xlws.FILTER(scorecard!AF:AR,scorecard!AF:AF=suppliers_rank!$D$4,)</f>
        <v>Honey</v>
      </c>
      <c r="C8" t="str">
        <v>Pune Honey Farms</v>
      </c>
      <c r="D8">
        <v>65.217391304347828</v>
      </c>
      <c r="E8">
        <v>82</v>
      </c>
      <c r="F8">
        <v>90</v>
      </c>
      <c r="G8">
        <v>97</v>
      </c>
      <c r="H8">
        <v>85</v>
      </c>
      <c r="I8">
        <v>96</v>
      </c>
      <c r="J8">
        <v>99.990199980399964</v>
      </c>
      <c r="K8">
        <v>88</v>
      </c>
      <c r="L8">
        <v>82.914053825498954</v>
      </c>
      <c r="M8">
        <v>1</v>
      </c>
      <c r="N8" t="str">
        <v>HONEY-001</v>
      </c>
      <c r="R8" t="str">
        <v>Cold Chain Crates</v>
      </c>
      <c r="S8" t="str">
        <v>Cold Storage Crates</v>
      </c>
      <c r="T8">
        <v>61.538461538461533</v>
      </c>
      <c r="U8">
        <v>0</v>
      </c>
      <c r="V8">
        <v>96</v>
      </c>
      <c r="W8">
        <v>85</v>
      </c>
      <c r="X8">
        <v>99.800199600399196</v>
      </c>
      <c r="Y8">
        <v>94</v>
      </c>
      <c r="Z8">
        <v>60.101548441558428</v>
      </c>
      <c r="AA8">
        <v>5</v>
      </c>
      <c r="AB8" t="str">
        <v>CRATE-002</v>
      </c>
    </row>
    <row r="9" spans="2:28" x14ac:dyDescent="0.3">
      <c r="B9" t="str">
        <v>Honey</v>
      </c>
      <c r="C9" t="str">
        <v>Maharashtra Apiary</v>
      </c>
      <c r="D9">
        <v>73.913043478260875</v>
      </c>
      <c r="E9">
        <v>78</v>
      </c>
      <c r="F9">
        <v>84</v>
      </c>
      <c r="G9">
        <v>95</v>
      </c>
      <c r="H9">
        <v>75</v>
      </c>
      <c r="I9">
        <v>60</v>
      </c>
      <c r="J9">
        <v>99.980199960399915</v>
      </c>
      <c r="K9">
        <v>82</v>
      </c>
      <c r="L9">
        <v>79.967666868377208</v>
      </c>
      <c r="M9">
        <v>4</v>
      </c>
      <c r="N9" t="str">
        <v>HONEY-002</v>
      </c>
      <c r="R9" t="str">
        <v>Cold Chain Crates</v>
      </c>
      <c r="S9" t="str">
        <v>Insulated Crates</v>
      </c>
      <c r="T9">
        <v>23.076923076923066</v>
      </c>
      <c r="U9">
        <v>50</v>
      </c>
      <c r="V9">
        <v>99</v>
      </c>
      <c r="W9">
        <v>95</v>
      </c>
      <c r="X9">
        <v>99.960199920399845</v>
      </c>
      <c r="Y9">
        <v>92</v>
      </c>
      <c r="Z9">
        <v>63.071086919096913</v>
      </c>
      <c r="AA9">
        <v>4</v>
      </c>
      <c r="AB9" t="str">
        <v>CRATE-003</v>
      </c>
    </row>
    <row r="10" spans="2:28" x14ac:dyDescent="0.3">
      <c r="B10" t="str">
        <v>Honey</v>
      </c>
      <c r="C10" t="str">
        <v>Organic Honey Coop</v>
      </c>
      <c r="D10">
        <v>43.478260869565219</v>
      </c>
      <c r="E10">
        <v>90</v>
      </c>
      <c r="F10">
        <v>94</v>
      </c>
      <c r="G10">
        <v>96</v>
      </c>
      <c r="H10">
        <v>65</v>
      </c>
      <c r="I10">
        <v>78</v>
      </c>
      <c r="J10">
        <v>99.995199990399982</v>
      </c>
      <c r="K10">
        <v>90</v>
      </c>
      <c r="L10">
        <v>77.069421217103312</v>
      </c>
      <c r="M10">
        <v>5</v>
      </c>
      <c r="N10" t="str">
        <v>HONEY-003</v>
      </c>
      <c r="R10" t="str">
        <v>Cold Chain Crates</v>
      </c>
      <c r="S10" t="str">
        <v>Industrial Crates Corp</v>
      </c>
      <c r="T10">
        <v>100</v>
      </c>
      <c r="U10">
        <v>0</v>
      </c>
      <c r="V10">
        <v>90</v>
      </c>
      <c r="W10">
        <v>75</v>
      </c>
      <c r="X10">
        <v>99.600199200398407</v>
      </c>
      <c r="Y10">
        <v>0</v>
      </c>
      <c r="Z10">
        <v>64.230009960019913</v>
      </c>
      <c r="AA10">
        <v>3</v>
      </c>
      <c r="AB10" t="str">
        <v>CRATE-004</v>
      </c>
    </row>
    <row r="11" spans="2:28" x14ac:dyDescent="0.3">
      <c r="B11" t="str">
        <v>Honey</v>
      </c>
      <c r="C11" t="str">
        <v>Imported Honey</v>
      </c>
      <c r="D11">
        <v>21.739130434782609</v>
      </c>
      <c r="E11">
        <v>85</v>
      </c>
      <c r="F11">
        <v>96</v>
      </c>
      <c r="G11">
        <v>92</v>
      </c>
      <c r="H11">
        <v>30</v>
      </c>
      <c r="I11">
        <v>70</v>
      </c>
      <c r="J11">
        <v>99.960199920399845</v>
      </c>
      <c r="K11">
        <v>75</v>
      </c>
      <c r="L11">
        <v>65.88358860630764</v>
      </c>
      <c r="M11">
        <v>9</v>
      </c>
      <c r="N11" t="str">
        <v>HONEY-004</v>
      </c>
      <c r="R11" t="str">
        <v>Cold Chain Crates</v>
      </c>
      <c r="S11" t="str">
        <v>Collapsible Crates</v>
      </c>
      <c r="T11">
        <v>46.153846153846153</v>
      </c>
      <c r="U11">
        <v>0</v>
      </c>
      <c r="V11">
        <v>95</v>
      </c>
      <c r="W11">
        <v>92</v>
      </c>
      <c r="X11">
        <v>99.840199680399365</v>
      </c>
      <c r="Y11">
        <v>70</v>
      </c>
      <c r="Z11">
        <v>55.138163830173809</v>
      </c>
      <c r="AA11">
        <v>7</v>
      </c>
      <c r="AB11" t="str">
        <v>CRATE-005</v>
      </c>
    </row>
    <row r="12" spans="2:28" x14ac:dyDescent="0.3">
      <c r="B12" t="str">
        <v>Honey</v>
      </c>
      <c r="C12" t="str">
        <v>Premium Honey Co</v>
      </c>
      <c r="D12">
        <v>30.434782608695656</v>
      </c>
      <c r="E12">
        <v>88</v>
      </c>
      <c r="F12">
        <v>92</v>
      </c>
      <c r="G12">
        <v>94</v>
      </c>
      <c r="H12">
        <v>50</v>
      </c>
      <c r="I12">
        <v>70</v>
      </c>
      <c r="J12">
        <v>99.985199970399947</v>
      </c>
      <c r="K12">
        <v>85</v>
      </c>
      <c r="L12">
        <v>70.70825165128592</v>
      </c>
      <c r="M12">
        <v>7</v>
      </c>
      <c r="N12" t="str">
        <v>HONEY-005</v>
      </c>
      <c r="R12" t="str">
        <v>Cold Chain Crates</v>
      </c>
      <c r="S12" t="str">
        <v>Euro Crates</v>
      </c>
      <c r="T12">
        <v>69.230769230769226</v>
      </c>
      <c r="U12">
        <v>30</v>
      </c>
      <c r="V12">
        <v>97</v>
      </c>
      <c r="W12">
        <v>88</v>
      </c>
      <c r="X12">
        <v>99.88019976039952</v>
      </c>
      <c r="Y12">
        <v>87</v>
      </c>
      <c r="Z12">
        <v>70.213240757250745</v>
      </c>
      <c r="AA12">
        <v>2</v>
      </c>
      <c r="AB12" t="str">
        <v>CRATE-006</v>
      </c>
    </row>
    <row r="13" spans="2:28" x14ac:dyDescent="0.3">
      <c r="B13" t="str">
        <v>Honey</v>
      </c>
      <c r="C13" t="str">
        <v>Local Honey Farmers</v>
      </c>
      <c r="D13">
        <v>86.956521739130437</v>
      </c>
      <c r="E13">
        <v>75</v>
      </c>
      <c r="F13">
        <v>82</v>
      </c>
      <c r="G13">
        <v>96</v>
      </c>
      <c r="H13">
        <v>80</v>
      </c>
      <c r="I13">
        <v>50</v>
      </c>
      <c r="J13">
        <v>99.960199920399845</v>
      </c>
      <c r="K13">
        <v>80</v>
      </c>
      <c r="L13">
        <v>82.287936432394602</v>
      </c>
      <c r="M13">
        <v>2</v>
      </c>
      <c r="N13" t="str">
        <v>HONEY-006</v>
      </c>
      <c r="R13" t="str">
        <v>Cold Chain Crates</v>
      </c>
      <c r="S13" t="str">
        <v>Custom Crates Ltd</v>
      </c>
      <c r="T13">
        <v>0</v>
      </c>
      <c r="U13">
        <v>0</v>
      </c>
      <c r="V13">
        <v>96</v>
      </c>
      <c r="W13">
        <v>93</v>
      </c>
      <c r="X13">
        <v>99.94019988039976</v>
      </c>
      <c r="Y13">
        <v>96</v>
      </c>
      <c r="Z13">
        <v>42.947009994019993</v>
      </c>
      <c r="AA13">
        <v>8</v>
      </c>
      <c r="AB13" t="str">
        <v>CRATE-007</v>
      </c>
    </row>
    <row r="14" spans="2:28" x14ac:dyDescent="0.3">
      <c r="B14" t="str">
        <v>Honey</v>
      </c>
      <c r="C14" t="str">
        <v>Artisanal Honey Co</v>
      </c>
      <c r="D14">
        <v>13.043478260869563</v>
      </c>
      <c r="E14">
        <v>92</v>
      </c>
      <c r="F14">
        <v>94</v>
      </c>
      <c r="G14">
        <v>95</v>
      </c>
      <c r="H14">
        <v>65</v>
      </c>
      <c r="I14">
        <v>0</v>
      </c>
      <c r="J14">
        <v>99.990199980399964</v>
      </c>
      <c r="K14">
        <v>92</v>
      </c>
      <c r="L14">
        <v>65.950575564629389</v>
      </c>
      <c r="M14">
        <v>8</v>
      </c>
      <c r="N14" t="str">
        <v>HONEY-007</v>
      </c>
      <c r="R14" t="str">
        <v>Cold Chain Crates</v>
      </c>
      <c r="S14" t="str">
        <v>Sustainable Crates</v>
      </c>
      <c r="T14">
        <v>53.846153846153847</v>
      </c>
      <c r="U14">
        <v>0</v>
      </c>
      <c r="V14">
        <v>94</v>
      </c>
      <c r="W14">
        <v>95</v>
      </c>
      <c r="X14">
        <v>99.920199840399675</v>
      </c>
      <c r="Y14">
        <v>60</v>
      </c>
      <c r="Z14">
        <v>57.199856145866143</v>
      </c>
      <c r="AA14">
        <v>6</v>
      </c>
      <c r="AB14" t="str">
        <v>CRATE-008</v>
      </c>
    </row>
    <row r="15" spans="2:28" x14ac:dyDescent="0.3">
      <c r="B15" t="str">
        <v>Honey</v>
      </c>
      <c r="C15" t="str">
        <v>Industrial Honey Corp</v>
      </c>
      <c r="D15">
        <v>100</v>
      </c>
      <c r="E15">
        <v>68</v>
      </c>
      <c r="F15">
        <v>76</v>
      </c>
      <c r="G15">
        <v>88</v>
      </c>
      <c r="H15">
        <v>50</v>
      </c>
      <c r="I15">
        <v>0</v>
      </c>
      <c r="J15">
        <v>99.900199800399605</v>
      </c>
      <c r="K15">
        <v>65</v>
      </c>
      <c r="L15">
        <v>75.897005994011977</v>
      </c>
      <c r="M15">
        <v>6</v>
      </c>
      <c r="N15" t="str">
        <v>HONEY-008</v>
      </c>
    </row>
    <row r="16" spans="2:28" x14ac:dyDescent="0.3">
      <c r="B16" t="str">
        <v>Honey</v>
      </c>
      <c r="C16" t="str">
        <v>Creamed Honey Co</v>
      </c>
      <c r="D16">
        <v>56.521739130434781</v>
      </c>
      <c r="E16">
        <v>85</v>
      </c>
      <c r="F16">
        <v>90</v>
      </c>
      <c r="G16">
        <v>97</v>
      </c>
      <c r="H16">
        <v>75</v>
      </c>
      <c r="I16">
        <v>97</v>
      </c>
      <c r="J16">
        <v>99.980199960399915</v>
      </c>
      <c r="K16">
        <v>88</v>
      </c>
      <c r="L16">
        <v>80.539840781420693</v>
      </c>
      <c r="M16">
        <v>3</v>
      </c>
      <c r="N16" t="str">
        <v>HONEY-009</v>
      </c>
    </row>
    <row r="17" spans="2:14" x14ac:dyDescent="0.3">
      <c r="B17" t="str">
        <v>Honey</v>
      </c>
      <c r="C17" t="str">
        <v>Medicinal Honey Ltd</v>
      </c>
      <c r="D17">
        <v>0</v>
      </c>
      <c r="E17">
        <v>95</v>
      </c>
      <c r="F17">
        <v>98</v>
      </c>
      <c r="G17">
        <v>93</v>
      </c>
      <c r="H17">
        <v>30</v>
      </c>
      <c r="I17">
        <v>70</v>
      </c>
      <c r="J17">
        <v>99.99419998839997</v>
      </c>
      <c r="K17">
        <v>83</v>
      </c>
      <c r="L17">
        <v>63.559825999652006</v>
      </c>
      <c r="M17">
        <v>10</v>
      </c>
      <c r="N17" t="str">
        <v>HONEY-010</v>
      </c>
    </row>
  </sheetData>
  <mergeCells count="4">
    <mergeCell ref="B2:I2"/>
    <mergeCell ref="D4:G4"/>
    <mergeCell ref="T4:W4"/>
    <mergeCell ref="R2:AB2"/>
  </mergeCells>
  <dataValidations count="1">
    <dataValidation type="custom" allowBlank="1" showInputMessage="1" showErrorMessage="1" sqref="K1:K5 K7:K1048576" xr:uid="{AB145BBE-AA67-4094-82A3-1C04A30838A3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FB9CAD-A685-4D1C-9483-7919AE59CE39}">
          <x14:formula1>
            <xm:f>selection_criterion!$W$4:$W$19</xm:f>
          </x14:formula1>
          <xm:sqref>D4:G4</xm:sqref>
        </x14:dataValidation>
        <x14:dataValidation type="list" allowBlank="1" showInputMessage="1" showErrorMessage="1" xr:uid="{601A5455-E41C-47ED-8D90-8B6A1C2B3255}">
          <x14:formula1>
            <xm:f>selection_criterion!$Z$4:$Z$16</xm:f>
          </x14:formula1>
          <xm:sqref>T4:W4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selection_criterion</vt:lpstr>
      <vt:lpstr>scorecard</vt:lpstr>
      <vt:lpstr>suppliers_rank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Khairwad</dc:creator>
  <cp:lastModifiedBy>Aditya Khairwad</cp:lastModifiedBy>
  <dcterms:created xsi:type="dcterms:W3CDTF">2025-12-05T05:38:42Z</dcterms:created>
  <dcterms:modified xsi:type="dcterms:W3CDTF">2025-12-09T06:46:43Z</dcterms:modified>
</cp:coreProperties>
</file>